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bookViews>
    <workbookView xWindow="0" yWindow="0" windowWidth="23040" windowHeight="9192"/>
  </bookViews>
  <sheets>
    <sheet name="CONFINAMENTO-MILHO" sheetId="13" r:id="rId1"/>
    <sheet name="TOMATE" sheetId="21" r:id="rId2"/>
    <sheet name="COMPRAS" sheetId="5" r:id="rId3"/>
    <sheet name="FECHAMENTOS" sheetId="18" r:id="rId4"/>
  </sheets>
  <definedNames>
    <definedName name="_xlnm._FilterDatabase" localSheetId="2" hidden="1">COMPRAS!$A$2:$M$168</definedName>
    <definedName name="_xlnm._FilterDatabase" localSheetId="0" hidden="1">'CONFINAMENTO-MILHO'!$D$2:$F$79</definedName>
    <definedName name="_xlnm._FilterDatabase" localSheetId="1" hidden="1">TOMATE!$D$1:$D$180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9" i="5" l="1"/>
  <c r="I107" i="21" l="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W26" i="21"/>
  <c r="W25" i="21"/>
  <c r="W24" i="21"/>
  <c r="Q23" i="21"/>
  <c r="W23" i="21"/>
  <c r="Q22" i="21"/>
  <c r="I19" i="21" l="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Q21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Q4" i="21" l="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T41" i="21"/>
  <c r="T40" i="21"/>
  <c r="T39" i="21"/>
  <c r="N41" i="21"/>
  <c r="N40" i="21"/>
  <c r="I4" i="21"/>
  <c r="I3" i="21"/>
  <c r="B101" i="21"/>
  <c r="B103" i="21" s="1"/>
  <c r="B104" i="21" s="1"/>
  <c r="B105" i="21" s="1"/>
  <c r="B106" i="21" s="1"/>
  <c r="E3" i="18" s="1"/>
  <c r="J90" i="21"/>
  <c r="J62" i="21"/>
  <c r="U35" i="21"/>
  <c r="O35" i="21"/>
  <c r="J19" i="21"/>
  <c r="W3" i="21"/>
  <c r="Q3" i="21"/>
  <c r="N39" i="21" s="1"/>
  <c r="K19" i="21" l="1"/>
  <c r="W35" i="21"/>
  <c r="E6" i="18" s="1"/>
  <c r="N47" i="21"/>
  <c r="N48" i="21"/>
  <c r="N49" i="21"/>
  <c r="Q35" i="21"/>
  <c r="E5" i="18" s="1"/>
  <c r="B101" i="13" l="1"/>
  <c r="J19" i="13"/>
  <c r="J62" i="13"/>
  <c r="J90" i="13"/>
  <c r="I75" i="13"/>
  <c r="L73" i="5"/>
  <c r="L75" i="5"/>
  <c r="L76" i="5"/>
  <c r="I58" i="13"/>
  <c r="L58" i="5"/>
  <c r="B5" i="18" l="1"/>
  <c r="B6" i="18"/>
  <c r="I18" i="13"/>
  <c r="L18" i="5"/>
  <c r="E158" i="5"/>
  <c r="K18" i="5" s="1"/>
  <c r="Q4" i="13"/>
  <c r="I59" i="13"/>
  <c r="L59" i="5"/>
  <c r="W4" i="13"/>
  <c r="W5" i="13"/>
  <c r="I50" i="13"/>
  <c r="E163" i="5"/>
  <c r="K50" i="5" s="1"/>
  <c r="L50" i="5"/>
  <c r="I106" i="13"/>
  <c r="L106" i="5"/>
  <c r="E168" i="5"/>
  <c r="K106" i="5" s="1"/>
  <c r="I61" i="13"/>
  <c r="I100" i="13"/>
  <c r="I102" i="13"/>
  <c r="I99" i="13"/>
  <c r="I98" i="13"/>
  <c r="I101" i="13"/>
  <c r="I97" i="13"/>
  <c r="I96" i="13"/>
  <c r="I94" i="13"/>
  <c r="I93" i="13"/>
  <c r="I92" i="13"/>
  <c r="I91" i="13"/>
  <c r="I88" i="13"/>
  <c r="I87" i="13"/>
  <c r="I82" i="13"/>
  <c r="I80" i="13"/>
  <c r="I79" i="13"/>
  <c r="I77" i="13"/>
  <c r="I73" i="13"/>
  <c r="I71" i="13"/>
  <c r="I66" i="13"/>
  <c r="I65" i="13"/>
  <c r="I64" i="13"/>
  <c r="I60" i="13"/>
  <c r="I51" i="13"/>
  <c r="I49" i="13"/>
  <c r="I44" i="13"/>
  <c r="I41" i="13"/>
  <c r="I31" i="13"/>
  <c r="I30" i="13"/>
  <c r="I27" i="13"/>
  <c r="I22" i="13"/>
  <c r="I21" i="13"/>
  <c r="I8" i="13"/>
  <c r="I7" i="13"/>
  <c r="I5" i="13"/>
  <c r="I4" i="13"/>
  <c r="I3" i="13"/>
  <c r="L100" i="5"/>
  <c r="E167" i="5"/>
  <c r="K100" i="5" s="1"/>
  <c r="M18" i="5" l="1"/>
  <c r="M50" i="5"/>
  <c r="M106" i="5"/>
  <c r="M100" i="5"/>
  <c r="J50" i="13" l="1"/>
  <c r="J50" i="21"/>
  <c r="K50" i="21" s="1"/>
  <c r="J18" i="13"/>
  <c r="J18" i="21"/>
  <c r="K18" i="21" s="1"/>
  <c r="J100" i="13"/>
  <c r="J100" i="21"/>
  <c r="K100" i="21" s="1"/>
  <c r="J106" i="13"/>
  <c r="J106" i="21"/>
  <c r="K106" i="21" s="1"/>
  <c r="I89" i="13"/>
  <c r="L61" i="5"/>
  <c r="L89" i="5"/>
  <c r="E165" i="5"/>
  <c r="K61" i="5" s="1"/>
  <c r="E40" i="5"/>
  <c r="K89" i="5" s="1"/>
  <c r="M89" i="5" l="1"/>
  <c r="M61" i="5"/>
  <c r="E161" i="5"/>
  <c r="E155" i="5"/>
  <c r="E154" i="5"/>
  <c r="E166" i="5"/>
  <c r="E164" i="5"/>
  <c r="E162" i="5"/>
  <c r="E160" i="5"/>
  <c r="E159" i="5"/>
  <c r="E157" i="5"/>
  <c r="E156" i="5"/>
  <c r="E25" i="5"/>
  <c r="E79" i="5"/>
  <c r="J89" i="13" l="1"/>
  <c r="J89" i="21"/>
  <c r="K89" i="21" s="1"/>
  <c r="J61" i="13"/>
  <c r="J61" i="21"/>
  <c r="K61" i="21" s="1"/>
  <c r="E127" i="5"/>
  <c r="K66" i="5" s="1"/>
  <c r="L66" i="5"/>
  <c r="L65" i="5"/>
  <c r="L97" i="5"/>
  <c r="E152" i="5"/>
  <c r="K65" i="5" s="1"/>
  <c r="E151" i="5"/>
  <c r="K97" i="5" s="1"/>
  <c r="E143" i="5"/>
  <c r="E137" i="5"/>
  <c r="M97" i="5" l="1"/>
  <c r="M65" i="5"/>
  <c r="L38" i="5"/>
  <c r="K38" i="5"/>
  <c r="E101" i="5"/>
  <c r="E93" i="5"/>
  <c r="E83" i="5"/>
  <c r="E84" i="5"/>
  <c r="E85" i="5"/>
  <c r="E82" i="5"/>
  <c r="E87" i="5"/>
  <c r="E86" i="5"/>
  <c r="E77" i="5"/>
  <c r="E75" i="5"/>
  <c r="E120" i="5"/>
  <c r="E116" i="5"/>
  <c r="E112" i="5"/>
  <c r="E111" i="5"/>
  <c r="E114" i="5"/>
  <c r="E113" i="5"/>
  <c r="J65" i="13" l="1"/>
  <c r="J65" i="21"/>
  <c r="K65" i="21" s="1"/>
  <c r="J97" i="13"/>
  <c r="J97" i="21"/>
  <c r="K97" i="21" s="1"/>
  <c r="L96" i="5"/>
  <c r="L91" i="5"/>
  <c r="L88" i="5"/>
  <c r="L82" i="5"/>
  <c r="L80" i="5"/>
  <c r="L98" i="5" l="1"/>
  <c r="L85" i="5"/>
  <c r="L60" i="5"/>
  <c r="L49" i="5"/>
  <c r="L44" i="5"/>
  <c r="E62" i="5"/>
  <c r="L31" i="5"/>
  <c r="L27" i="5"/>
  <c r="L22" i="5"/>
  <c r="L21" i="5"/>
  <c r="L4" i="5"/>
  <c r="L3" i="5"/>
  <c r="E124" i="5"/>
  <c r="E126" i="5"/>
  <c r="E125" i="5"/>
  <c r="E55" i="5"/>
  <c r="E56" i="5"/>
  <c r="E50" i="5"/>
  <c r="E47" i="5"/>
  <c r="E27" i="5"/>
  <c r="E3" i="5"/>
  <c r="E7" i="5"/>
  <c r="E5" i="5"/>
  <c r="E6" i="5"/>
  <c r="E9" i="5"/>
  <c r="K4" i="5" s="1"/>
  <c r="E8" i="5"/>
  <c r="K3" i="5" s="1"/>
  <c r="E10" i="5"/>
  <c r="E12" i="5"/>
  <c r="K91" i="5" s="1"/>
  <c r="M91" i="5" s="1"/>
  <c r="E11" i="5"/>
  <c r="K76" i="5" s="1"/>
  <c r="M76" i="5" s="1"/>
  <c r="E13" i="5"/>
  <c r="K27" i="5" s="1"/>
  <c r="E15" i="5"/>
  <c r="E16" i="5"/>
  <c r="E14" i="5"/>
  <c r="K80" i="5" s="1"/>
  <c r="M80" i="5" s="1"/>
  <c r="E18" i="5"/>
  <c r="E17" i="5"/>
  <c r="E19" i="5"/>
  <c r="E22" i="5"/>
  <c r="K88" i="5" s="1"/>
  <c r="M88" i="5" s="1"/>
  <c r="E20" i="5"/>
  <c r="K22" i="5" s="1"/>
  <c r="E21" i="5"/>
  <c r="K75" i="5" s="1"/>
  <c r="M75" i="5" s="1"/>
  <c r="E23" i="5"/>
  <c r="E24" i="5"/>
  <c r="K73" i="5" s="1"/>
  <c r="M73" i="5" s="1"/>
  <c r="L79" i="5"/>
  <c r="L77" i="5"/>
  <c r="L7" i="5"/>
  <c r="J80" i="13" l="1"/>
  <c r="J80" i="21"/>
  <c r="K80" i="21" s="1"/>
  <c r="J75" i="13"/>
  <c r="K75" i="13" s="1"/>
  <c r="J75" i="21"/>
  <c r="K75" i="21" s="1"/>
  <c r="J88" i="13"/>
  <c r="J88" i="21"/>
  <c r="K88" i="21" s="1"/>
  <c r="J76" i="13"/>
  <c r="J76" i="21"/>
  <c r="K76" i="21" s="1"/>
  <c r="J91" i="13"/>
  <c r="K91" i="13" s="1"/>
  <c r="J91" i="21"/>
  <c r="K91" i="21" s="1"/>
  <c r="J73" i="13"/>
  <c r="J73" i="21"/>
  <c r="K73" i="21" s="1"/>
  <c r="M27" i="5"/>
  <c r="K82" i="5"/>
  <c r="M82" i="5" s="1"/>
  <c r="K21" i="5"/>
  <c r="M22" i="5"/>
  <c r="J82" i="13" l="1"/>
  <c r="J82" i="21"/>
  <c r="K82" i="21" s="1"/>
  <c r="J27" i="13"/>
  <c r="J27" i="21"/>
  <c r="K27" i="21" s="1"/>
  <c r="J22" i="13"/>
  <c r="J22" i="21"/>
  <c r="K22" i="21" s="1"/>
  <c r="K79" i="5"/>
  <c r="M79" i="5" s="1"/>
  <c r="K77" i="5"/>
  <c r="M77" i="5" s="1"/>
  <c r="K7" i="5"/>
  <c r="M7" i="5" s="1"/>
  <c r="E4" i="5"/>
  <c r="J77" i="13" l="1"/>
  <c r="K77" i="13" s="1"/>
  <c r="J77" i="21"/>
  <c r="K77" i="21" s="1"/>
  <c r="J79" i="13"/>
  <c r="J79" i="21"/>
  <c r="K79" i="21" s="1"/>
  <c r="J7" i="13"/>
  <c r="J7" i="21"/>
  <c r="K7" i="21" s="1"/>
  <c r="K7" i="13"/>
  <c r="E138" i="5"/>
  <c r="K49" i="5" s="1"/>
  <c r="E115" i="5"/>
  <c r="E99" i="5"/>
  <c r="K96" i="5" s="1"/>
  <c r="M96" i="5" s="1"/>
  <c r="J96" i="13" l="1"/>
  <c r="J96" i="21"/>
  <c r="K96" i="21" s="1"/>
  <c r="I45" i="13"/>
  <c r="L92" i="5" l="1"/>
  <c r="L51" i="5"/>
  <c r="L5" i="5"/>
  <c r="L30" i="5"/>
  <c r="L8" i="5"/>
  <c r="L64" i="5"/>
  <c r="L71" i="5"/>
  <c r="L102" i="5"/>
  <c r="K102" i="5"/>
  <c r="E117" i="5"/>
  <c r="K71" i="5" s="1"/>
  <c r="E118" i="5"/>
  <c r="E119" i="5"/>
  <c r="E104" i="5"/>
  <c r="E102" i="5"/>
  <c r="E103" i="5"/>
  <c r="E122" i="5"/>
  <c r="K64" i="5" s="1"/>
  <c r="E123" i="5"/>
  <c r="E130" i="5"/>
  <c r="E129" i="5"/>
  <c r="E128" i="5"/>
  <c r="E131" i="5"/>
  <c r="E135" i="5"/>
  <c r="E132" i="5"/>
  <c r="K8" i="5" s="1"/>
  <c r="E133" i="5"/>
  <c r="E134" i="5"/>
  <c r="E136" i="5"/>
  <c r="E139" i="5"/>
  <c r="K30" i="5" s="1"/>
  <c r="E142" i="5"/>
  <c r="E140" i="5"/>
  <c r="E141" i="5"/>
  <c r="E144" i="5"/>
  <c r="E145" i="5"/>
  <c r="K5" i="5" s="1"/>
  <c r="E149" i="5"/>
  <c r="E146" i="5"/>
  <c r="K51" i="5" s="1"/>
  <c r="E147" i="5"/>
  <c r="E148" i="5"/>
  <c r="K92" i="5" s="1"/>
  <c r="E150" i="5"/>
  <c r="E110" i="5"/>
  <c r="L99" i="5"/>
  <c r="L94" i="5"/>
  <c r="L93" i="5"/>
  <c r="E52" i="5"/>
  <c r="K93" i="5" s="1"/>
  <c r="E53" i="5"/>
  <c r="K94" i="5" s="1"/>
  <c r="K99" i="5" l="1"/>
  <c r="M99" i="5" s="1"/>
  <c r="M94" i="5"/>
  <c r="M30" i="5"/>
  <c r="M93" i="5"/>
  <c r="M102" i="5"/>
  <c r="M71" i="5"/>
  <c r="M64" i="5"/>
  <c r="M8" i="5"/>
  <c r="M49" i="5"/>
  <c r="M5" i="5"/>
  <c r="M51" i="5"/>
  <c r="M92" i="5"/>
  <c r="E81" i="5"/>
  <c r="E80" i="5"/>
  <c r="E74" i="5"/>
  <c r="E72" i="5"/>
  <c r="E73" i="5"/>
  <c r="E69" i="5"/>
  <c r="E68" i="5"/>
  <c r="E66" i="5"/>
  <c r="K60" i="5" s="1"/>
  <c r="E63" i="5"/>
  <c r="K31" i="5" s="1"/>
  <c r="E65" i="5"/>
  <c r="E67" i="5"/>
  <c r="K85" i="5" s="1"/>
  <c r="E71" i="5"/>
  <c r="K58" i="5" s="1"/>
  <c r="M58" i="5" s="1"/>
  <c r="E70" i="5"/>
  <c r="E64" i="5"/>
  <c r="K44" i="5" s="1"/>
  <c r="J8" i="13" l="1"/>
  <c r="K8" i="13" s="1"/>
  <c r="J8" i="21"/>
  <c r="K8" i="21" s="1"/>
  <c r="J64" i="13"/>
  <c r="J64" i="21"/>
  <c r="K64" i="21" s="1"/>
  <c r="J71" i="13"/>
  <c r="J71" i="21"/>
  <c r="K71" i="21" s="1"/>
  <c r="J49" i="13"/>
  <c r="J49" i="21"/>
  <c r="K49" i="21" s="1"/>
  <c r="J102" i="13"/>
  <c r="J102" i="21"/>
  <c r="K102" i="21" s="1"/>
  <c r="J58" i="13"/>
  <c r="J58" i="21"/>
  <c r="K58" i="21" s="1"/>
  <c r="J92" i="13"/>
  <c r="J92" i="21"/>
  <c r="K92" i="21" s="1"/>
  <c r="J93" i="13"/>
  <c r="K93" i="13" s="1"/>
  <c r="J93" i="21"/>
  <c r="K93" i="21" s="1"/>
  <c r="J51" i="13"/>
  <c r="J51" i="21"/>
  <c r="K51" i="21" s="1"/>
  <c r="J30" i="13"/>
  <c r="J30" i="21"/>
  <c r="K30" i="21" s="1"/>
  <c r="J5" i="13"/>
  <c r="J5" i="21"/>
  <c r="K5" i="21" s="1"/>
  <c r="J94" i="13"/>
  <c r="K94" i="13" s="1"/>
  <c r="J94" i="21"/>
  <c r="K94" i="21" s="1"/>
  <c r="J99" i="13"/>
  <c r="J99" i="21"/>
  <c r="K99" i="21" s="1"/>
  <c r="K50" i="13"/>
  <c r="K73" i="13"/>
  <c r="K92" i="13"/>
  <c r="K5" i="13"/>
  <c r="E51" i="5"/>
  <c r="I69" i="13" l="1"/>
  <c r="M38" i="5" l="1"/>
  <c r="K45" i="5"/>
  <c r="L45" i="5"/>
  <c r="K105" i="5"/>
  <c r="L105" i="5"/>
  <c r="L48" i="5"/>
  <c r="K48" i="5"/>
  <c r="K104" i="5"/>
  <c r="K81" i="5"/>
  <c r="L78" i="5"/>
  <c r="L81" i="5"/>
  <c r="L104" i="5"/>
  <c r="L29" i="5"/>
  <c r="L87" i="5"/>
  <c r="L28" i="5"/>
  <c r="K28" i="5"/>
  <c r="K84" i="5"/>
  <c r="L84" i="5"/>
  <c r="L69" i="5"/>
  <c r="L46" i="5"/>
  <c r="K46" i="5"/>
  <c r="K39" i="5"/>
  <c r="L39" i="5"/>
  <c r="L37" i="5"/>
  <c r="K37" i="5"/>
  <c r="K36" i="5"/>
  <c r="L36" i="5"/>
  <c r="K17" i="5"/>
  <c r="L17" i="5"/>
  <c r="K15" i="5"/>
  <c r="K23" i="5"/>
  <c r="K24" i="5"/>
  <c r="K6" i="5"/>
  <c r="K10" i="5"/>
  <c r="K13" i="5"/>
  <c r="L15" i="5"/>
  <c r="L13" i="5"/>
  <c r="L10" i="5"/>
  <c r="L6" i="5"/>
  <c r="L24" i="5"/>
  <c r="L23" i="5"/>
  <c r="L26" i="5"/>
  <c r="E105" i="5"/>
  <c r="K56" i="5" s="1"/>
  <c r="L56" i="5"/>
  <c r="E100" i="5"/>
  <c r="K54" i="5" s="1"/>
  <c r="L12" i="5"/>
  <c r="L54" i="5"/>
  <c r="E92" i="5"/>
  <c r="L25" i="5"/>
  <c r="E96" i="5"/>
  <c r="K86" i="5" s="1"/>
  <c r="L86" i="5"/>
  <c r="E95" i="5"/>
  <c r="K47" i="5" s="1"/>
  <c r="L47" i="5"/>
  <c r="L52" i="5"/>
  <c r="K52" i="5"/>
  <c r="E109" i="5"/>
  <c r="E107" i="5"/>
  <c r="E98" i="5"/>
  <c r="E91" i="5"/>
  <c r="E78" i="5"/>
  <c r="L107" i="5"/>
  <c r="E108" i="5"/>
  <c r="K40" i="5" s="1"/>
  <c r="L40" i="5"/>
  <c r="K35" i="5"/>
  <c r="L35" i="5"/>
  <c r="E106" i="5"/>
  <c r="E90" i="5"/>
  <c r="K20" i="5"/>
  <c r="L20" i="5"/>
  <c r="L68" i="5"/>
  <c r="L14" i="5"/>
  <c r="L72" i="5"/>
  <c r="K72" i="5"/>
  <c r="E44" i="5"/>
  <c r="K55" i="5" s="1"/>
  <c r="L55" i="5"/>
  <c r="E43" i="5"/>
  <c r="K53" i="5" s="1"/>
  <c r="L53" i="5"/>
  <c r="E42" i="5"/>
  <c r="K43" i="5" s="1"/>
  <c r="L43" i="5"/>
  <c r="E45" i="5"/>
  <c r="K63" i="5" s="1"/>
  <c r="L63" i="5"/>
  <c r="L9" i="5"/>
  <c r="E41" i="5"/>
  <c r="K9" i="5" s="1"/>
  <c r="E36" i="5"/>
  <c r="K70" i="5" s="1"/>
  <c r="L70" i="5"/>
  <c r="E54" i="5"/>
  <c r="E38" i="5"/>
  <c r="L101" i="5"/>
  <c r="E89" i="5"/>
  <c r="E76" i="5"/>
  <c r="E48" i="5"/>
  <c r="E35" i="5"/>
  <c r="L57" i="5"/>
  <c r="E61" i="5"/>
  <c r="E37" i="5"/>
  <c r="K74" i="5" s="1"/>
  <c r="E32" i="5"/>
  <c r="K33" i="5" s="1"/>
  <c r="E33" i="5"/>
  <c r="E57" i="5"/>
  <c r="E88" i="5"/>
  <c r="L34" i="5"/>
  <c r="L33" i="5"/>
  <c r="L74" i="5"/>
  <c r="E28" i="5"/>
  <c r="K32" i="5" s="1"/>
  <c r="E31" i="5"/>
  <c r="K16" i="5" s="1"/>
  <c r="E34" i="5"/>
  <c r="L42" i="5"/>
  <c r="L16" i="5"/>
  <c r="L32" i="5"/>
  <c r="E26" i="5"/>
  <c r="E39" i="5"/>
  <c r="E49" i="5"/>
  <c r="K11" i="5" s="1"/>
  <c r="E59" i="5"/>
  <c r="K67" i="5" s="1"/>
  <c r="E97" i="5"/>
  <c r="K98" i="5" s="1"/>
  <c r="E29" i="5"/>
  <c r="E58" i="5"/>
  <c r="E94" i="5"/>
  <c r="E30" i="5"/>
  <c r="E46" i="5"/>
  <c r="E60" i="5"/>
  <c r="L83" i="5"/>
  <c r="L41" i="5"/>
  <c r="L67" i="5"/>
  <c r="L11" i="5"/>
  <c r="L103" i="5"/>
  <c r="L95" i="5"/>
  <c r="E153" i="5"/>
  <c r="K95" i="5" s="1"/>
  <c r="J38" i="13" l="1"/>
  <c r="J38" i="21"/>
  <c r="K38" i="21" s="1"/>
  <c r="K59" i="5"/>
  <c r="M59" i="5" s="1"/>
  <c r="M104" i="5"/>
  <c r="M105" i="5"/>
  <c r="K68" i="5"/>
  <c r="M68" i="5" s="1"/>
  <c r="M63" i="5"/>
  <c r="K78" i="5"/>
  <c r="M78" i="5" s="1"/>
  <c r="M17" i="5"/>
  <c r="M86" i="5"/>
  <c r="M6" i="5"/>
  <c r="M16" i="5"/>
  <c r="M32" i="5"/>
  <c r="M11" i="5"/>
  <c r="M9" i="5"/>
  <c r="M4" i="5"/>
  <c r="M13" i="5"/>
  <c r="M31" i="5"/>
  <c r="K25" i="5"/>
  <c r="M25" i="5" s="1"/>
  <c r="M45" i="5"/>
  <c r="M33" i="5"/>
  <c r="M95" i="5"/>
  <c r="K42" i="5"/>
  <c r="M42" i="5" s="1"/>
  <c r="M54" i="5"/>
  <c r="M43" i="5"/>
  <c r="M85" i="5"/>
  <c r="M39" i="5"/>
  <c r="M20" i="5"/>
  <c r="M24" i="5"/>
  <c r="M46" i="5"/>
  <c r="M70" i="5"/>
  <c r="M72" i="5"/>
  <c r="M66" i="5"/>
  <c r="M15" i="5"/>
  <c r="M37" i="5"/>
  <c r="M48" i="5"/>
  <c r="M23" i="5"/>
  <c r="M47" i="5"/>
  <c r="M53" i="5"/>
  <c r="M35" i="5"/>
  <c r="M52" i="5"/>
  <c r="M28" i="5"/>
  <c r="M67" i="5"/>
  <c r="M74" i="5"/>
  <c r="M60" i="5"/>
  <c r="M55" i="5"/>
  <c r="M44" i="5"/>
  <c r="M40" i="5"/>
  <c r="M21" i="5"/>
  <c r="M10" i="5"/>
  <c r="M36" i="5"/>
  <c r="M56" i="5"/>
  <c r="M84" i="5"/>
  <c r="M81" i="5"/>
  <c r="K87" i="5"/>
  <c r="M87" i="5" s="1"/>
  <c r="K69" i="5"/>
  <c r="M69" i="5" s="1"/>
  <c r="K29" i="5"/>
  <c r="M29" i="5" s="1"/>
  <c r="K26" i="5"/>
  <c r="M26" i="5" s="1"/>
  <c r="M98" i="5"/>
  <c r="K101" i="5"/>
  <c r="M101" i="5" s="1"/>
  <c r="K12" i="5"/>
  <c r="M12" i="5" s="1"/>
  <c r="K14" i="5"/>
  <c r="M14" i="5" s="1"/>
  <c r="K57" i="5"/>
  <c r="M57" i="5" s="1"/>
  <c r="K103" i="5"/>
  <c r="M103" i="5" s="1"/>
  <c r="K107" i="5"/>
  <c r="K34" i="5"/>
  <c r="M34" i="5" s="1"/>
  <c r="K41" i="5"/>
  <c r="K83" i="5"/>
  <c r="M83" i="5" s="1"/>
  <c r="J36" i="13" l="1"/>
  <c r="J36" i="21"/>
  <c r="K36" i="21" s="1"/>
  <c r="J67" i="13"/>
  <c r="J67" i="21"/>
  <c r="K67" i="21" s="1"/>
  <c r="J39" i="13"/>
  <c r="J39" i="21"/>
  <c r="K39" i="21" s="1"/>
  <c r="J69" i="13"/>
  <c r="K69" i="13" s="1"/>
  <c r="J69" i="21"/>
  <c r="K69" i="21" s="1"/>
  <c r="J40" i="13"/>
  <c r="J40" i="21"/>
  <c r="K40" i="21" s="1"/>
  <c r="J35" i="13"/>
  <c r="J35" i="21"/>
  <c r="K35" i="21" s="1"/>
  <c r="J72" i="13"/>
  <c r="J72" i="21"/>
  <c r="K72" i="21" s="1"/>
  <c r="J54" i="13"/>
  <c r="J54" i="21"/>
  <c r="K54" i="21" s="1"/>
  <c r="J4" i="13"/>
  <c r="J4" i="21"/>
  <c r="K4" i="21" s="1"/>
  <c r="J78" i="13"/>
  <c r="J78" i="21"/>
  <c r="K78" i="21" s="1"/>
  <c r="J57" i="13"/>
  <c r="J57" i="21"/>
  <c r="K57" i="21" s="1"/>
  <c r="J44" i="13"/>
  <c r="K44" i="13" s="1"/>
  <c r="J44" i="21"/>
  <c r="K44" i="21" s="1"/>
  <c r="J70" i="13"/>
  <c r="J70" i="21"/>
  <c r="K70" i="21" s="1"/>
  <c r="J68" i="13"/>
  <c r="J68" i="21"/>
  <c r="K68" i="21" s="1"/>
  <c r="J87" i="13"/>
  <c r="K87" i="13" s="1"/>
  <c r="J87" i="21"/>
  <c r="K87" i="21" s="1"/>
  <c r="J53" i="13"/>
  <c r="J53" i="21"/>
  <c r="K53" i="21" s="1"/>
  <c r="J14" i="13"/>
  <c r="J14" i="21"/>
  <c r="K14" i="21" s="1"/>
  <c r="J81" i="13"/>
  <c r="J81" i="21"/>
  <c r="K81" i="21" s="1"/>
  <c r="J55" i="13"/>
  <c r="J55" i="21"/>
  <c r="K55" i="21" s="1"/>
  <c r="J47" i="13"/>
  <c r="J47" i="21"/>
  <c r="K47" i="21" s="1"/>
  <c r="J46" i="13"/>
  <c r="J46" i="21"/>
  <c r="K46" i="21" s="1"/>
  <c r="J95" i="13"/>
  <c r="J95" i="21"/>
  <c r="K95" i="21" s="1"/>
  <c r="J11" i="13"/>
  <c r="J11" i="21"/>
  <c r="K11" i="21" s="1"/>
  <c r="J12" i="13"/>
  <c r="J12" i="21"/>
  <c r="K12" i="21" s="1"/>
  <c r="J84" i="13"/>
  <c r="J84" i="21"/>
  <c r="K84" i="21" s="1"/>
  <c r="J60" i="13"/>
  <c r="J60" i="21"/>
  <c r="K60" i="21" s="1"/>
  <c r="J23" i="13"/>
  <c r="J23" i="21"/>
  <c r="K23" i="21" s="1"/>
  <c r="J24" i="13"/>
  <c r="J24" i="21"/>
  <c r="K24" i="21" s="1"/>
  <c r="J33" i="13"/>
  <c r="J33" i="21"/>
  <c r="K33" i="21" s="1"/>
  <c r="J32" i="13"/>
  <c r="J32" i="21"/>
  <c r="K32" i="21" s="1"/>
  <c r="J105" i="13"/>
  <c r="J105" i="21"/>
  <c r="K105" i="21" s="1"/>
  <c r="J103" i="13"/>
  <c r="J103" i="21"/>
  <c r="K103" i="21" s="1"/>
  <c r="J42" i="13"/>
  <c r="J42" i="21"/>
  <c r="K42" i="21" s="1"/>
  <c r="J9" i="13"/>
  <c r="J9" i="21"/>
  <c r="K9" i="21" s="1"/>
  <c r="J63" i="13"/>
  <c r="J63" i="21"/>
  <c r="K63" i="21" s="1"/>
  <c r="J83" i="13"/>
  <c r="J83" i="21"/>
  <c r="K83" i="21" s="1"/>
  <c r="J101" i="13"/>
  <c r="J101" i="21"/>
  <c r="K101" i="21" s="1"/>
  <c r="J56" i="13"/>
  <c r="J56" i="21"/>
  <c r="K56" i="21" s="1"/>
  <c r="J74" i="13"/>
  <c r="J74" i="21"/>
  <c r="K74" i="21" s="1"/>
  <c r="J48" i="13"/>
  <c r="J48" i="21"/>
  <c r="K48" i="21" s="1"/>
  <c r="J20" i="13"/>
  <c r="J20" i="21"/>
  <c r="K20" i="21" s="1"/>
  <c r="J45" i="13"/>
  <c r="J45" i="21"/>
  <c r="K45" i="21" s="1"/>
  <c r="J16" i="13"/>
  <c r="J16" i="21"/>
  <c r="K16" i="21" s="1"/>
  <c r="J104" i="13"/>
  <c r="J104" i="21"/>
  <c r="K104" i="21" s="1"/>
  <c r="J98" i="13"/>
  <c r="K98" i="13" s="1"/>
  <c r="J98" i="21"/>
  <c r="K98" i="21" s="1"/>
  <c r="J37" i="13"/>
  <c r="J37" i="21"/>
  <c r="K37" i="21" s="1"/>
  <c r="J59" i="13"/>
  <c r="K59" i="13" s="1"/>
  <c r="J59" i="21"/>
  <c r="K59" i="21" s="1"/>
  <c r="J34" i="13"/>
  <c r="J34" i="21"/>
  <c r="K34" i="21" s="1"/>
  <c r="J15" i="13"/>
  <c r="J15" i="21"/>
  <c r="K15" i="21" s="1"/>
  <c r="J86" i="13"/>
  <c r="J86" i="21"/>
  <c r="K86" i="21" s="1"/>
  <c r="J25" i="13"/>
  <c r="J25" i="21"/>
  <c r="K25" i="21" s="1"/>
  <c r="J6" i="13"/>
  <c r="J6" i="21"/>
  <c r="K6" i="21" s="1"/>
  <c r="J26" i="13"/>
  <c r="J26" i="21"/>
  <c r="K26" i="21" s="1"/>
  <c r="J10" i="13"/>
  <c r="J10" i="21"/>
  <c r="K10" i="21" s="1"/>
  <c r="J28" i="13"/>
  <c r="J28" i="21"/>
  <c r="K28" i="21" s="1"/>
  <c r="J85" i="13"/>
  <c r="J85" i="21"/>
  <c r="K85" i="21" s="1"/>
  <c r="J31" i="13"/>
  <c r="K31" i="13" s="1"/>
  <c r="J31" i="21"/>
  <c r="K31" i="21" s="1"/>
  <c r="J29" i="13"/>
  <c r="J29" i="21"/>
  <c r="K29" i="21" s="1"/>
  <c r="J21" i="13"/>
  <c r="K21" i="13" s="1"/>
  <c r="J21" i="21"/>
  <c r="K21" i="21" s="1"/>
  <c r="J52" i="13"/>
  <c r="J52" i="21"/>
  <c r="K52" i="21" s="1"/>
  <c r="J66" i="13"/>
  <c r="J66" i="21"/>
  <c r="K66" i="21" s="1"/>
  <c r="J43" i="13"/>
  <c r="J43" i="21"/>
  <c r="K43" i="21" s="1"/>
  <c r="J13" i="13"/>
  <c r="J13" i="21"/>
  <c r="K13" i="21" s="1"/>
  <c r="J17" i="13"/>
  <c r="J17" i="21"/>
  <c r="K17" i="21" s="1"/>
  <c r="K79" i="13"/>
  <c r="K96" i="13"/>
  <c r="K88" i="13"/>
  <c r="K99" i="13"/>
  <c r="K51" i="13"/>
  <c r="K45" i="13"/>
  <c r="K82" i="13"/>
  <c r="K71" i="13"/>
  <c r="K89" i="13"/>
  <c r="K22" i="13"/>
  <c r="K100" i="13"/>
  <c r="K80" i="13"/>
  <c r="K27" i="13"/>
  <c r="K97" i="13"/>
  <c r="K65" i="13"/>
  <c r="K61" i="13"/>
  <c r="K49" i="13"/>
  <c r="K30" i="13"/>
  <c r="K106" i="13"/>
  <c r="K102" i="13"/>
  <c r="K101" i="13"/>
  <c r="K60" i="13"/>
  <c r="K4" i="13"/>
  <c r="K66" i="13"/>
  <c r="M41" i="5"/>
  <c r="M107" i="5"/>
  <c r="J107" i="21" s="1"/>
  <c r="K107" i="21" s="1"/>
  <c r="I107" i="13"/>
  <c r="I104" i="13"/>
  <c r="I103" i="13"/>
  <c r="I90" i="13"/>
  <c r="I95" i="13"/>
  <c r="I86" i="13"/>
  <c r="I85" i="13"/>
  <c r="I84" i="13"/>
  <c r="K84" i="13" s="1"/>
  <c r="I83" i="13"/>
  <c r="I81" i="13"/>
  <c r="I78" i="13"/>
  <c r="K78" i="13" s="1"/>
  <c r="I74" i="13"/>
  <c r="I72" i="13"/>
  <c r="I70" i="13"/>
  <c r="I68" i="13"/>
  <c r="I67" i="13"/>
  <c r="I63" i="13"/>
  <c r="I62" i="13"/>
  <c r="I57" i="13"/>
  <c r="I56" i="13"/>
  <c r="K56" i="13" s="1"/>
  <c r="I55" i="13"/>
  <c r="I54" i="13"/>
  <c r="I53" i="13"/>
  <c r="I52" i="13"/>
  <c r="I48" i="13"/>
  <c r="I47" i="13"/>
  <c r="I46" i="13"/>
  <c r="K46" i="13" s="1"/>
  <c r="I76" i="13"/>
  <c r="K76" i="13" s="1"/>
  <c r="I43" i="13"/>
  <c r="I42" i="13"/>
  <c r="I40" i="13"/>
  <c r="I39" i="13"/>
  <c r="K39" i="13" s="1"/>
  <c r="I38" i="13"/>
  <c r="K38" i="13" s="1"/>
  <c r="I37" i="13"/>
  <c r="K37" i="13" s="1"/>
  <c r="I36" i="13"/>
  <c r="K36" i="13" s="1"/>
  <c r="I35" i="13"/>
  <c r="K35" i="13" s="1"/>
  <c r="I34" i="13"/>
  <c r="I33" i="13"/>
  <c r="K33" i="13" s="1"/>
  <c r="I32" i="13"/>
  <c r="I29" i="13"/>
  <c r="I28" i="13"/>
  <c r="I26" i="13"/>
  <c r="I25" i="13"/>
  <c r="I24" i="13"/>
  <c r="I23" i="13"/>
  <c r="I20" i="13"/>
  <c r="K20" i="13" s="1"/>
  <c r="I19" i="13"/>
  <c r="K19" i="13" s="1"/>
  <c r="I17" i="13"/>
  <c r="I16" i="13"/>
  <c r="K16" i="13" s="1"/>
  <c r="I105" i="13"/>
  <c r="I15" i="13"/>
  <c r="I14" i="13"/>
  <c r="K14" i="13" s="1"/>
  <c r="I13" i="13"/>
  <c r="I12" i="13"/>
  <c r="I11" i="13"/>
  <c r="I6" i="13"/>
  <c r="I10" i="13"/>
  <c r="K10" i="13" s="1"/>
  <c r="I9" i="13"/>
  <c r="K9" i="13" s="1"/>
  <c r="K67" i="13" l="1"/>
  <c r="K28" i="13"/>
  <c r="K48" i="13"/>
  <c r="K83" i="13"/>
  <c r="K11" i="13"/>
  <c r="K53" i="13"/>
  <c r="K12" i="13"/>
  <c r="K23" i="13"/>
  <c r="K24" i="13"/>
  <c r="K74" i="13"/>
  <c r="K13" i="13"/>
  <c r="K72" i="13"/>
  <c r="K57" i="13"/>
  <c r="K54" i="13"/>
  <c r="K105" i="13"/>
  <c r="J41" i="13"/>
  <c r="K41" i="13" s="1"/>
  <c r="J41" i="21"/>
  <c r="K41" i="21" s="1"/>
  <c r="K25" i="13"/>
  <c r="K103" i="13"/>
  <c r="K6" i="13"/>
  <c r="K17" i="13"/>
  <c r="K52" i="13"/>
  <c r="K58" i="13"/>
  <c r="J107" i="13"/>
  <c r="K107" i="13" s="1"/>
  <c r="K95" i="13"/>
  <c r="K81" i="13"/>
  <c r="K104" i="13"/>
  <c r="K47" i="13"/>
  <c r="K43" i="13"/>
  <c r="K15" i="13"/>
  <c r="K55" i="13"/>
  <c r="K32" i="13"/>
  <c r="K68" i="13"/>
  <c r="K70" i="13"/>
  <c r="K86" i="13"/>
  <c r="K34" i="13"/>
  <c r="K26" i="13"/>
  <c r="K29" i="13"/>
  <c r="K63" i="13"/>
  <c r="K40" i="13"/>
  <c r="K18" i="13"/>
  <c r="K42" i="13"/>
  <c r="K85" i="13"/>
  <c r="M3" i="5" l="1"/>
  <c r="W6" i="13"/>
  <c r="W7" i="13"/>
  <c r="W8" i="13"/>
  <c r="J3" i="13" l="1"/>
  <c r="K3" i="13" s="1"/>
  <c r="J3" i="21"/>
  <c r="K3" i="21" s="1"/>
  <c r="K120" i="21" s="1"/>
  <c r="E4" i="18" s="1"/>
  <c r="E11" i="18" s="1"/>
  <c r="K120" i="13" l="1"/>
  <c r="B4" i="18" s="1"/>
  <c r="T40" i="13"/>
  <c r="T39" i="13"/>
  <c r="N40" i="13"/>
  <c r="N48" i="13" l="1"/>
  <c r="T41" i="13" l="1"/>
  <c r="W3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B103" i="13"/>
  <c r="B104" i="13" s="1"/>
  <c r="B105" i="13" s="1"/>
  <c r="B106" i="13" s="1"/>
  <c r="B3" i="18" s="1"/>
  <c r="B11" i="18" s="1"/>
  <c r="U35" i="13"/>
  <c r="O35" i="13"/>
  <c r="Q5" i="13"/>
  <c r="N39" i="13"/>
  <c r="N47" i="13" s="1"/>
  <c r="Q3" i="13"/>
  <c r="N41" i="13" s="1"/>
  <c r="N49" i="13" l="1"/>
  <c r="W35" i="13"/>
  <c r="Q35" i="13"/>
</calcChain>
</file>

<file path=xl/comments1.xml><?xml version="1.0" encoding="utf-8"?>
<comments xmlns="http://schemas.openxmlformats.org/spreadsheetml/2006/main">
  <authors>
    <author>Fernando</author>
  </authors>
  <commentList>
    <comment ref="M14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CUSTO ADVALDO 40,00 CYUSTO COMPRA 31,73</t>
        </r>
      </text>
    </comment>
    <comment ref="A23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COMPRA FEITA GALAO DE 5 LITROS</t>
        </r>
      </text>
    </comment>
    <comment ref="B25" authorId="0" shapeId="0">
      <text>
        <r>
          <rPr>
            <b/>
            <sz val="9"/>
            <color indexed="81"/>
            <rFont val="Segoe UI"/>
            <charset val="1"/>
          </rPr>
          <t>COMPRAS RAMON 13-10-2024 TABELA ANTIGA</t>
        </r>
      </text>
    </comment>
    <comment ref="C29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GALAO DE 20 LITROS,LANÇADO 4 UNIDADES PARA FACILITAR EQUIPARAÇÃO-OUTRAS COMPRA FORAM DE 5 LITROS</t>
        </r>
      </text>
    </comment>
    <comment ref="F43" authorId="0" shapeId="0">
      <text>
        <r>
          <rPr>
            <b/>
            <sz val="9"/>
            <color indexed="81"/>
            <rFont val="Segoe UI"/>
            <family val="2"/>
          </rPr>
          <t>Fernando:</t>
        </r>
        <r>
          <rPr>
            <sz val="9"/>
            <color indexed="81"/>
            <rFont val="Segoe UI"/>
            <family val="2"/>
          </rPr>
          <t xml:space="preserve">
BASEADO EM ESTOQUE USADO E ESTOQUE RESTANTE TEVE UMA DIFERENCA DE 200 GRAMAS-VALOR 56,00 REIAS 
</t>
        </r>
      </text>
    </comment>
    <comment ref="C49" authorId="0" shapeId="0">
      <text>
        <r>
          <rPr>
            <b/>
            <sz val="9"/>
            <color indexed="81"/>
            <rFont val="Segoe UI"/>
            <family val="2"/>
          </rPr>
          <t>Fernando:</t>
        </r>
        <r>
          <rPr>
            <sz val="9"/>
            <color indexed="81"/>
            <rFont val="Segoe UI"/>
            <family val="2"/>
          </rPr>
          <t xml:space="preserve">
COMPROU LITRO MAIS DIVIDE EM 4 PORÇOES-UNIFICAR EQUIPARAÇÃO 
</t>
        </r>
      </text>
    </comment>
    <comment ref="C59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COMPRA FOI GALAO DE 5 LITROS</t>
        </r>
      </text>
    </comment>
    <comment ref="J59" authorId="0" shapeId="0">
      <text>
        <r>
          <rPr>
            <b/>
            <sz val="9"/>
            <color indexed="81"/>
            <rFont val="Segoe UI"/>
            <family val="2"/>
          </rPr>
          <t>Fernando:</t>
        </r>
        <r>
          <rPr>
            <sz val="9"/>
            <color indexed="81"/>
            <rFont val="Segoe UI"/>
            <family val="2"/>
          </rPr>
          <t xml:space="preserve">
TEM 2 NOTAS DIFERENTES</t>
        </r>
      </text>
    </comment>
    <comment ref="C61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LANÇADO 5 UNIDADES POR CONTA DE COMPRA DE 1 LITRO
</t>
        </r>
      </text>
    </comment>
    <comment ref="C69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1 SACO AVARIADO</t>
        </r>
      </text>
    </comment>
    <comment ref="F69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SACO CUSTO 50,00 PORQUE FOI AVARIADO</t>
        </r>
      </text>
    </comment>
    <comment ref="B79" authorId="0" shapeId="0">
      <text>
        <r>
          <rPr>
            <b/>
            <sz val="9"/>
            <color indexed="81"/>
            <rFont val="Segoe UI"/>
            <charset val="1"/>
          </rPr>
          <t>COMPRAS RAMON 13-10-2024 TABELA ANTIGA</t>
        </r>
      </text>
    </comment>
    <comment ref="H99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PRIMEIRO BOLETO PAGO POR FERNANDO 2.280,00 GRUPO DIA 25-11-2024
</t>
        </r>
      </text>
    </comment>
    <comment ref="F168" authorId="0" shapeId="0">
      <text>
        <r>
          <rPr>
            <b/>
            <sz val="9"/>
            <color indexed="81"/>
            <rFont val="Segoe UI"/>
            <charset val="1"/>
          </rPr>
          <t>Fernando:</t>
        </r>
        <r>
          <rPr>
            <sz val="9"/>
            <color indexed="81"/>
            <rFont val="Segoe UI"/>
            <charset val="1"/>
          </rPr>
          <t xml:space="preserve">
VERIFICAR PREÇO </t>
        </r>
      </text>
    </comment>
  </commentList>
</comments>
</file>

<file path=xl/sharedStrings.xml><?xml version="1.0" encoding="utf-8"?>
<sst xmlns="http://schemas.openxmlformats.org/spreadsheetml/2006/main" count="1038" uniqueCount="265">
  <si>
    <t>DESCRIÇÃO</t>
  </si>
  <si>
    <t>DATA</t>
  </si>
  <si>
    <t>QUANT</t>
  </si>
  <si>
    <t>IRRIGAÇÃP SETOR 1</t>
  </si>
  <si>
    <t>VALOR</t>
  </si>
  <si>
    <t>TOTAL</t>
  </si>
  <si>
    <t xml:space="preserve">MINUTOS </t>
  </si>
  <si>
    <t>APURAÇÃO</t>
  </si>
  <si>
    <t>VALOR COMPRA</t>
  </si>
  <si>
    <t>TOTAL MIN</t>
  </si>
  <si>
    <t>TOTAL HORAS</t>
  </si>
  <si>
    <t>TOTAL KW</t>
  </si>
  <si>
    <t>MAQUINA DE VENENO</t>
  </si>
  <si>
    <t>CUSTO USADO</t>
  </si>
  <si>
    <t>UNIDADE</t>
  </si>
  <si>
    <t>ADUBO</t>
  </si>
  <si>
    <t>IRRIGAÇÃO</t>
  </si>
  <si>
    <t>ADUBOS</t>
  </si>
  <si>
    <t>CUSTO A 1,17 CENTAVOS</t>
  </si>
  <si>
    <t>VENENO</t>
  </si>
  <si>
    <t xml:space="preserve">DIARIAS DE TRABALHADOR </t>
  </si>
  <si>
    <t>JOINER</t>
  </si>
  <si>
    <t>ELEITTO</t>
  </si>
  <si>
    <t>AMPLIGO 250 ML</t>
  </si>
  <si>
    <t>RAMON</t>
  </si>
  <si>
    <t>TOPMIX 03-28-00 YARA 50K</t>
  </si>
  <si>
    <t>RESTORER 5 LITROS</t>
  </si>
  <si>
    <t xml:space="preserve">COMPRAS CONFINAMENTO </t>
  </si>
  <si>
    <t xml:space="preserve">CAIXA PARA TOMATE </t>
  </si>
  <si>
    <t>MAQUINARIO-ADUBAÇÃO-PLANTIO--CAPINA</t>
  </si>
  <si>
    <t>NUPRID</t>
  </si>
  <si>
    <t>NUTRIGEMMA B ZN 5 LITROS</t>
  </si>
  <si>
    <t>BARBANTE EM NOVELO N8 OURO</t>
  </si>
  <si>
    <t>BARBANTE EM NOVELO N10 BRANCO</t>
  </si>
  <si>
    <t>BRAVONIL ULTREX 1 KILO</t>
  </si>
  <si>
    <t>AMISTAR TOP 1 L</t>
  </si>
  <si>
    <t>PRIVILEGE 1L</t>
  </si>
  <si>
    <t>FERTIUM LIQUIDO 5L</t>
  </si>
  <si>
    <t>PIRATE 1 LITRO</t>
  </si>
  <si>
    <t>CAL SUPER 5 LITROS</t>
  </si>
  <si>
    <t>DRIPSOL INICIAL 15-30-15 25 KG</t>
  </si>
  <si>
    <t>AMISTAR WG 6X500 G-1 KILO</t>
  </si>
  <si>
    <t>PHOSIFK CU4 1 LITRO</t>
  </si>
  <si>
    <t>RIDOMIL GOLD BRAVO 1 LITRO</t>
  </si>
  <si>
    <t>BION 500 WG  25 G</t>
  </si>
  <si>
    <t>FYLLOTON 12X1 1 LITRO</t>
  </si>
  <si>
    <t>PROTAMIN 25K</t>
  </si>
  <si>
    <t>DRIPSOL MICRO REXENE 700 GRAMAS</t>
  </si>
  <si>
    <t>DRIPSOL MULTIPROPOSITO-18-18-18 25 K</t>
  </si>
  <si>
    <t>POQUER 4X5 LITROS</t>
  </si>
  <si>
    <t>GLIBOR CA 5L</t>
  </si>
  <si>
    <t>MICROCOMPLEX 1X25  25K</t>
  </si>
  <si>
    <t>MIRAVIS DUO 1 LITRO</t>
  </si>
  <si>
    <t>N CALCIO CALCINIT YARA 15.5% 18CA 25K</t>
  </si>
  <si>
    <t>SULFATO DE MAGNESIO-KRISTA MGS 25K</t>
  </si>
  <si>
    <t>NITRATO DE POTASSIO 12% N 45% K2O 2%S 25 K</t>
  </si>
  <si>
    <t>DRIPSOL PRODUÇÃO 12-06-40 25K</t>
  </si>
  <si>
    <t>RIDOMIL GOLD MZ 680 WG 12X1 1 KG</t>
  </si>
  <si>
    <t xml:space="preserve">REEMBOLSO JEAN </t>
  </si>
  <si>
    <t>REEMBOLSO FERNANDO</t>
  </si>
  <si>
    <t xml:space="preserve">REEMBOLSO RAFAEL </t>
  </si>
  <si>
    <t xml:space="preserve">REEMBOLSO DE PAGAMENTO </t>
  </si>
  <si>
    <t>YARAREGA 18-05-18 25 K</t>
  </si>
  <si>
    <t>MAXIHUN 5 L</t>
  </si>
  <si>
    <t xml:space="preserve">K BOMBER 56 8X2 5 KILOS </t>
  </si>
  <si>
    <t>RIZAMMINA 42 OS 8X2 5 KILOS</t>
  </si>
  <si>
    <t>MINECTO PRO 12X1LT</t>
  </si>
  <si>
    <t>FTE 25K</t>
  </si>
  <si>
    <t>AVATAR 1 L</t>
  </si>
  <si>
    <t>MULTICARE 1L</t>
  </si>
  <si>
    <t>DFULL 1 LITRO</t>
  </si>
  <si>
    <t xml:space="preserve">TOTAL REEMBOLSO </t>
  </si>
  <si>
    <t>ACIDO BORICO SACO 25K</t>
  </si>
  <si>
    <t>BENZOATO  1K</t>
  </si>
  <si>
    <t>COMPRA TOTAL</t>
  </si>
  <si>
    <t xml:space="preserve">TOTAL </t>
  </si>
  <si>
    <t xml:space="preserve">VALOR TOTAL </t>
  </si>
  <si>
    <t>PREÇO EQUIPARADO</t>
  </si>
  <si>
    <t>EQUIPARAÇÃO DE PREÇOS</t>
  </si>
  <si>
    <t>DISPAROULTRA-S - GL DE 5 LITROS</t>
  </si>
  <si>
    <t>DOMINUM XT-S - GL 5 LITROS</t>
  </si>
  <si>
    <t>TORDONULTRA-S - BD 20 LITROS</t>
  </si>
  <si>
    <t>QUIMIORGEN 20 N - GL DE 5 LITROS</t>
  </si>
  <si>
    <t>QUIMIFOL PERSIST- 1 LITRO</t>
  </si>
  <si>
    <t>KIT COSTAL AZR PLUS - EPI</t>
  </si>
  <si>
    <t>DELEGATE(TM) - FR 120 GR</t>
  </si>
  <si>
    <t>TRIGARD 750 PM - PCT 15 GR</t>
  </si>
  <si>
    <t>D FIX - 1 LITRO</t>
  </si>
  <si>
    <t>D S30 - 1 LITRO</t>
  </si>
  <si>
    <t>FITILHO VIRGEM NOVELO NR 08</t>
  </si>
  <si>
    <t>PLATINUM NEO - GL 5 LITROS</t>
  </si>
  <si>
    <t>DIARIA MAIKO</t>
  </si>
  <si>
    <t>LUIZ</t>
  </si>
  <si>
    <t>UREIA</t>
  </si>
  <si>
    <t>BRIT</t>
  </si>
  <si>
    <t>LANNATE</t>
  </si>
  <si>
    <t xml:space="preserve">SEMENTE TOMATE </t>
  </si>
  <si>
    <t>SEMENTE MELANCIA</t>
  </si>
  <si>
    <t xml:space="preserve">YARAREGA 18-05-18 25 K </t>
  </si>
  <si>
    <t xml:space="preserve">FRETE CAIXAS TOMATE </t>
  </si>
  <si>
    <t>FRETE CAIXAS TOMATE</t>
  </si>
  <si>
    <t>FULVUMIM 5 LITROS</t>
  </si>
  <si>
    <t>ROUNDUP ORIGINAL MAIS - GL DE 5 L</t>
  </si>
  <si>
    <t>INTREPID240 SC -1 L</t>
  </si>
  <si>
    <t>SEMENTE MILHO HIB FEROZ SYN8A98 TL TG VIP FORTENZA</t>
  </si>
  <si>
    <t>SEMENTE MILHO HIB FEROZ SYN8A98 TL TG FORT VIP TURBO</t>
  </si>
  <si>
    <t>GLIMAN 30 4X5 KG</t>
  </si>
  <si>
    <t>SPRAY DUNGER 20X1KG</t>
  </si>
  <si>
    <t>NITROCAM 12X1 LT</t>
  </si>
  <si>
    <t>DRIPSOL CRESCIMENTO 24-10-10 25 KG</t>
  </si>
  <si>
    <t>RIDOMIL GOLD MZ 680 WG 12X1 KG</t>
  </si>
  <si>
    <t>SPRINT ALGA TS 12X1LT</t>
  </si>
  <si>
    <t>TIMOREX GOLD 12X1 LT</t>
  </si>
  <si>
    <t>PRIMOLEO 1X20LT</t>
  </si>
  <si>
    <t>NUTRISYSTEM INICIAL 42 06.30.06 25 K</t>
  </si>
  <si>
    <t>AGRUMAX MZ 4X5 KG</t>
  </si>
  <si>
    <t>DRIPSOL BORO K 00.00.01+17% BORO 25 k</t>
  </si>
  <si>
    <t>ABAMEX MAXX 72% 12X1 LT</t>
  </si>
  <si>
    <t>MASTER 20-20-20 25 KG</t>
  </si>
  <si>
    <t>SEMENTE MELANCIA H MANCHESTER</t>
  </si>
  <si>
    <t>FORNECEDOR/N DE NOTA</t>
  </si>
  <si>
    <t>FERNANDO BARBOSA (GRUPO PLANTIO)</t>
  </si>
  <si>
    <t xml:space="preserve">COMPRADO POR </t>
  </si>
  <si>
    <t>HF NOTA 43526</t>
  </si>
  <si>
    <t>HF NOTA 43697</t>
  </si>
  <si>
    <t>HF NOTA 43754</t>
  </si>
  <si>
    <t>HF NOTA 43845</t>
  </si>
  <si>
    <t>HF NOTA 43846</t>
  </si>
  <si>
    <t>HF NOTA 43948</t>
  </si>
  <si>
    <t>HF NOTA 43995</t>
  </si>
  <si>
    <t>HF NOTA 44026</t>
  </si>
  <si>
    <t>HF NOTA 44027</t>
  </si>
  <si>
    <t xml:space="preserve">SABER QUEM FOI </t>
  </si>
  <si>
    <t>HF NOTA 44113</t>
  </si>
  <si>
    <t>HF NOTA 44126</t>
  </si>
  <si>
    <t>HF NOTA 44185</t>
  </si>
  <si>
    <t xml:space="preserve">RAMON </t>
  </si>
  <si>
    <t>HF NOTA 44234</t>
  </si>
  <si>
    <t>HF NOTA 44323</t>
  </si>
  <si>
    <t>HF NOTA 44409</t>
  </si>
  <si>
    <t>HF NOTA 44436</t>
  </si>
  <si>
    <t>HF NOTA 44557</t>
  </si>
  <si>
    <t>HF NOTA 44610</t>
  </si>
  <si>
    <t>HF NOTA 44696</t>
  </si>
  <si>
    <t>HF NOTA 44714</t>
  </si>
  <si>
    <t xml:space="preserve">SEMENTE TOMATE 2 PLANTIO </t>
  </si>
  <si>
    <t>SEMENTE TOMATE COLT 1000 SEMENTES</t>
  </si>
  <si>
    <t>HF NOTA 44827</t>
  </si>
  <si>
    <t>HF NOTA 44846</t>
  </si>
  <si>
    <t>HF NOTA 44853</t>
  </si>
  <si>
    <t>HF NOTA 44869</t>
  </si>
  <si>
    <t>HF NOTA 45074</t>
  </si>
  <si>
    <t>HF NOTA 45218</t>
  </si>
  <si>
    <t>HF NOTA 45227</t>
  </si>
  <si>
    <t>HF NOTA 45262</t>
  </si>
  <si>
    <t>HF NOTA 45394</t>
  </si>
  <si>
    <t>CONFIMENTO/RAMON</t>
  </si>
  <si>
    <t>HF NOTA 45510</t>
  </si>
  <si>
    <t>HF NOTA 45580</t>
  </si>
  <si>
    <t>HF NOTA 45689</t>
  </si>
  <si>
    <t>HF NOTA 45816</t>
  </si>
  <si>
    <t>HF NOTA 45815</t>
  </si>
  <si>
    <t>HF NOTA 46316</t>
  </si>
  <si>
    <t>HF NOTA 46464</t>
  </si>
  <si>
    <t>HF NOTA 46518</t>
  </si>
  <si>
    <t>HF NOTA 46566</t>
  </si>
  <si>
    <t>HF NOTA 46569</t>
  </si>
  <si>
    <t>HF NOTA 46681</t>
  </si>
  <si>
    <t>HLS NOTA 3761</t>
  </si>
  <si>
    <t xml:space="preserve">CONFINAMENTO/RAFAEL </t>
  </si>
  <si>
    <t xml:space="preserve">CONFINAMENTO/OPERAÇÃO </t>
  </si>
  <si>
    <t>CONFINAMENTO/FERNANDO</t>
  </si>
  <si>
    <t>RAMON GRUPO DIA 02-09-2025</t>
  </si>
  <si>
    <t>CONFINAMENTO/JEAN 360,00 RAMON 470,00</t>
  </si>
  <si>
    <t>HF NOTA 62937</t>
  </si>
  <si>
    <t>CONFINAMENTO (FALTA NOTA )</t>
  </si>
  <si>
    <t xml:space="preserve">NOTA COMUM </t>
  </si>
  <si>
    <t>KCL (JANIO)</t>
  </si>
  <si>
    <t>JANIO RAÇOES</t>
  </si>
  <si>
    <t>UNIAGRO NOTA 63230</t>
  </si>
  <si>
    <t>UNIAGRO NOTA 58496</t>
  </si>
  <si>
    <t>ADESIL - 1 LITRO</t>
  </si>
  <si>
    <t>QUIMIFOL P30W- GL 5 LITROS</t>
  </si>
  <si>
    <t>QUIMIFOL PHFOS - 1 LITRO</t>
  </si>
  <si>
    <t>ABAMEX -1 LITRO</t>
  </si>
  <si>
    <t>ABADIN 72 EC - 1 LITRO</t>
  </si>
  <si>
    <t>SEMENTE MELANCIA CRIMSON SELE</t>
  </si>
  <si>
    <t>QUIMIFOL IMPACTO - 1 LITRO</t>
  </si>
  <si>
    <t>UNIAGRO NOTA  59051</t>
  </si>
  <si>
    <t>DICARZOL 500 SP 12 X 500 GRS</t>
  </si>
  <si>
    <t>RAPEL PCT- 3 KG</t>
  </si>
  <si>
    <t>QUIMIFOL S450 - GL 5 LITROS</t>
  </si>
  <si>
    <t>UNIAGRO NOTA 59471</t>
  </si>
  <si>
    <t>KLORPAN 480 CE -1 LITRO</t>
  </si>
  <si>
    <t>UNIAGRO NOTA 59729</t>
  </si>
  <si>
    <t>CARNADINE- 1 LITRO</t>
  </si>
  <si>
    <t>SCORE 250 EC - 1 LITRO</t>
  </si>
  <si>
    <t>CERCOBIN 875 WG- 1 KG</t>
  </si>
  <si>
    <t>QUIMIFOL CALCIO E BORO II- BD 20 L</t>
  </si>
  <si>
    <t>UNIAGRO NOTA 59811</t>
  </si>
  <si>
    <t>UNIAGRO NOTA 60135</t>
  </si>
  <si>
    <t>QUIMIFOL TQ CLEAR - 1 LITRO</t>
  </si>
  <si>
    <t>UNIAGRO NOTA 61956</t>
  </si>
  <si>
    <t>UNIAGRO NOTA 62113</t>
  </si>
  <si>
    <t>UNIAGRO NOTA 62247</t>
  </si>
  <si>
    <t>UNIAGRO NOTA 62314</t>
  </si>
  <si>
    <t>PROGIBB 400 - PCT 2,5 GR</t>
  </si>
  <si>
    <t>UNIAGRO NOTA 61385</t>
  </si>
  <si>
    <t>UNIAGRO NOTA 64685</t>
  </si>
  <si>
    <t/>
  </si>
  <si>
    <t xml:space="preserve">OBS RAMON </t>
  </si>
  <si>
    <t>UNIAGRO NOTA 63381</t>
  </si>
  <si>
    <t>UNIAGRO NOTA 63624</t>
  </si>
  <si>
    <t>UNIAGRO NOTA 64138</t>
  </si>
  <si>
    <t>WENDES</t>
  </si>
  <si>
    <t>UNIAGRO NOTA 62831</t>
  </si>
  <si>
    <t>UNIAGRO NOTA 62832</t>
  </si>
  <si>
    <t xml:space="preserve">UNIAGRO NOTA  62656 </t>
  </si>
  <si>
    <t>UNIAGRO NOTA 62833</t>
  </si>
  <si>
    <t>UNIAGRO NOTA 62937</t>
  </si>
  <si>
    <t>UNIAGRO NOTA 63150</t>
  </si>
  <si>
    <t>UNIAGRO NOTA 65435</t>
  </si>
  <si>
    <t>UNIAGRO NOTA 66527</t>
  </si>
  <si>
    <t>SENCOR 480 SC- 1 LITRO</t>
  </si>
  <si>
    <t>UNIAGRO NOTA 66658</t>
  </si>
  <si>
    <t>PADRON - 1 LITRO</t>
  </si>
  <si>
    <t>UNIAGRO NOTA 66738</t>
  </si>
  <si>
    <t>PAGAMENTO FEITA DE MUDAS 2º PLANTIO</t>
  </si>
  <si>
    <t xml:space="preserve">GRUPO COMPRA 2º PLANTIO </t>
  </si>
  <si>
    <t>TABELA ANTIGA DO TOMATE COMPRAS RAMON</t>
  </si>
  <si>
    <t xml:space="preserve">TABELA ANTIGA DO TOMATE COMPRAS CONFINAMENTO </t>
  </si>
  <si>
    <t xml:space="preserve">NPK </t>
  </si>
  <si>
    <t>TABELA CONFINAMENTO FINANCEIRO</t>
  </si>
  <si>
    <t>NKP</t>
  </si>
  <si>
    <t>SEMENTE DE MILHO BIOMATRIX 3066</t>
  </si>
  <si>
    <t>TABELA CONFINAMENTO (ACERTO DE JEAN COM ZOI)</t>
  </si>
  <si>
    <t>SUFATO DE AMONIO</t>
  </si>
  <si>
    <t>NPK</t>
  </si>
  <si>
    <t xml:space="preserve">UREIA </t>
  </si>
  <si>
    <t xml:space="preserve">LANÇADO NO GRUPO DO MILHO </t>
  </si>
  <si>
    <t>NITRATO POTASSIO YARA TERA K 13-00-43</t>
  </si>
  <si>
    <t xml:space="preserve">GRADEAÇÃO </t>
  </si>
  <si>
    <t>CONFINAMENTO-MILHO</t>
  </si>
  <si>
    <t xml:space="preserve">PLANTIO E REPLANTIO </t>
  </si>
  <si>
    <t>MONTAGEM SISTEMA</t>
  </si>
  <si>
    <t>ETIRADA MANGUIERAS</t>
  </si>
  <si>
    <t>NIVELAMENTO NUNAO</t>
  </si>
  <si>
    <t xml:space="preserve">BRIT </t>
  </si>
  <si>
    <t xml:space="preserve">CUSTO FEITA </t>
  </si>
  <si>
    <t>CUSTO SACO</t>
  </si>
  <si>
    <t>DIARIAS ENSACAR</t>
  </si>
  <si>
    <t>R.FERNANDO</t>
  </si>
  <si>
    <t>PRIMAZ</t>
  </si>
  <si>
    <t>DIARIA RICARDO</t>
  </si>
  <si>
    <t>DIARIA AMIGO</t>
  </si>
  <si>
    <t>DIARIA MARKIN</t>
  </si>
  <si>
    <t>DIARIA LUCAS</t>
  </si>
  <si>
    <t>DIDIU</t>
  </si>
  <si>
    <t>R.JEAN</t>
  </si>
  <si>
    <t>DRIPSOL EQUILIBRIO</t>
  </si>
  <si>
    <t>CLORETO DE POTASSIO</t>
  </si>
  <si>
    <t>FRETE GBI</t>
  </si>
  <si>
    <t>NRITATO DE CALCIO YARA</t>
  </si>
  <si>
    <t>CONFINAMENTO-TOMATE</t>
  </si>
  <si>
    <t>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</si>
</sst>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\ #,##0.00"/>
    <numFmt numFmtId="165" formatCode="&quot;R$&quot;\ #,##0.0000"/>
    <numFmt numFmtId="166" formatCode="&quot;R$&quot;\ #,##0.000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164" fontId="0" fillId="0" borderId="0" xfId="0" applyNumberFormat="1"/>
    <xf numFmtId="0" fontId="0" fillId="0" borderId="0" xfId="0" applyFill="1"/>
    <xf numFmtId="0" fontId="0" fillId="3" borderId="0" xfId="0" applyFill="1" applyAlignment="1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0" fillId="3" borderId="0" xfId="0" applyNumberFormat="1" applyFill="1" applyProtection="1">
      <protection locked="0"/>
    </xf>
    <xf numFmtId="164" fontId="0" fillId="3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0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14" fontId="0" fillId="0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0" fillId="3" borderId="0" xfId="0" applyFill="1" applyProtection="1"/>
    <xf numFmtId="164" fontId="0" fillId="3" borderId="0" xfId="0" applyNumberFormat="1" applyFill="1" applyProtection="1"/>
    <xf numFmtId="164" fontId="0" fillId="0" borderId="0" xfId="0" applyNumberFormat="1" applyFill="1" applyProtection="1"/>
    <xf numFmtId="164" fontId="0" fillId="5" borderId="0" xfId="0" applyNumberFormat="1" applyFill="1" applyProtection="1">
      <protection locked="0"/>
    </xf>
    <xf numFmtId="14" fontId="0" fillId="5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5" borderId="0" xfId="0" applyNumberFormat="1" applyFill="1" applyProtection="1">
      <protection locked="0"/>
    </xf>
    <xf numFmtId="0" fontId="3" fillId="0" borderId="0" xfId="0" applyFont="1" applyFill="1" applyProtection="1"/>
    <xf numFmtId="164" fontId="3" fillId="0" borderId="0" xfId="0" applyNumberFormat="1" applyFont="1" applyFill="1" applyProtection="1">
      <protection locked="0"/>
    </xf>
    <xf numFmtId="0" fontId="3" fillId="0" borderId="0" xfId="0" applyFont="1" applyFill="1" applyProtection="1">
      <protection locked="0"/>
    </xf>
    <xf numFmtId="0" fontId="0" fillId="4" borderId="0" xfId="0" applyFill="1" applyAlignment="1" applyProtection="1">
      <protection locked="0"/>
    </xf>
    <xf numFmtId="0" fontId="0" fillId="0" borderId="0" xfId="0" applyNumberFormat="1" applyAlignment="1" applyProtection="1">
      <alignment horizontal="left"/>
      <protection locked="0"/>
    </xf>
    <xf numFmtId="0" fontId="0" fillId="3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  <protection locked="0"/>
    </xf>
    <xf numFmtId="164" fontId="0" fillId="0" borderId="0" xfId="0" applyNumberFormat="1" applyFill="1" applyAlignment="1" applyProtection="1">
      <alignment horizontal="left"/>
    </xf>
    <xf numFmtId="0" fontId="3" fillId="4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6" borderId="0" xfId="0" applyFont="1" applyFill="1" applyAlignment="1" applyProtection="1">
      <alignment horizontal="left"/>
      <protection locked="0"/>
    </xf>
    <xf numFmtId="0" fontId="3" fillId="6" borderId="0" xfId="0" applyNumberFormat="1" applyFont="1" applyFill="1" applyAlignment="1" applyProtection="1">
      <alignment horizontal="left"/>
      <protection locked="0"/>
    </xf>
    <xf numFmtId="164" fontId="3" fillId="6" borderId="0" xfId="0" applyNumberFormat="1" applyFont="1" applyFill="1" applyAlignment="1" applyProtection="1">
      <alignment horizontal="left"/>
      <protection locked="0"/>
    </xf>
    <xf numFmtId="0" fontId="3" fillId="0" borderId="0" xfId="0" applyNumberFormat="1" applyFont="1" applyAlignment="1" applyProtection="1">
      <alignment horizontal="left"/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  <protection locked="0"/>
    </xf>
    <xf numFmtId="164" fontId="3" fillId="4" borderId="0" xfId="0" applyNumberFormat="1" applyFont="1" applyFill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left"/>
      <protection locked="0"/>
    </xf>
    <xf numFmtId="166" fontId="0" fillId="3" borderId="0" xfId="0" applyNumberFormat="1" applyFill="1" applyProtection="1"/>
    <xf numFmtId="166" fontId="0" fillId="0" borderId="0" xfId="0" applyNumberFormat="1" applyProtection="1">
      <protection locked="0"/>
    </xf>
    <xf numFmtId="166" fontId="0" fillId="0" borderId="0" xfId="0" applyNumberFormat="1" applyFill="1" applyProtection="1">
      <protection locked="0"/>
    </xf>
    <xf numFmtId="166" fontId="0" fillId="0" borderId="0" xfId="0" applyNumberFormat="1" applyFill="1" applyProtection="1"/>
    <xf numFmtId="0" fontId="6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14" fontId="6" fillId="0" borderId="0" xfId="0" applyNumberFormat="1" applyFont="1" applyFill="1" applyProtection="1">
      <protection locked="0"/>
    </xf>
    <xf numFmtId="0" fontId="6" fillId="0" borderId="0" xfId="0" applyNumberFormat="1" applyFont="1" applyFill="1" applyProtection="1">
      <protection locked="0"/>
    </xf>
    <xf numFmtId="164" fontId="6" fillId="0" borderId="0" xfId="0" applyNumberFormat="1" applyFont="1" applyFill="1" applyProtection="1">
      <protection locked="0"/>
    </xf>
    <xf numFmtId="14" fontId="3" fillId="0" borderId="0" xfId="0" applyNumberFormat="1" applyFont="1" applyFill="1" applyAlignment="1" applyProtection="1">
      <alignment horizontal="left"/>
    </xf>
    <xf numFmtId="0" fontId="3" fillId="0" borderId="0" xfId="0" applyNumberFormat="1" applyFont="1" applyFill="1" applyAlignment="1" applyProtection="1">
      <alignment horizontal="left"/>
    </xf>
    <xf numFmtId="164" fontId="3" fillId="0" borderId="0" xfId="0" applyNumberFormat="1" applyFont="1" applyFill="1" applyAlignment="1" applyProtection="1">
      <alignment horizontal="left"/>
    </xf>
    <xf numFmtId="14" fontId="3" fillId="0" borderId="0" xfId="0" quotePrefix="1" applyNumberFormat="1" applyFont="1" applyFill="1" applyAlignment="1" applyProtection="1">
      <alignment horizontal="left"/>
    </xf>
    <xf numFmtId="0" fontId="3" fillId="8" borderId="0" xfId="0" applyFont="1" applyFill="1" applyAlignment="1" applyProtection="1">
      <alignment horizontal="left"/>
    </xf>
    <xf numFmtId="0" fontId="0" fillId="8" borderId="0" xfId="0" applyNumberFormat="1" applyFill="1" applyAlignment="1" applyProtection="1">
      <alignment horizontal="left"/>
    </xf>
    <xf numFmtId="164" fontId="0" fillId="8" borderId="0" xfId="0" applyNumberForma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166" fontId="0" fillId="0" borderId="0" xfId="0" applyNumberFormat="1" applyFill="1" applyAlignment="1" applyProtection="1">
      <alignment horizontal="left"/>
    </xf>
    <xf numFmtId="0" fontId="0" fillId="0" borderId="0" xfId="0" applyFill="1" applyProtection="1"/>
    <xf numFmtId="0" fontId="0" fillId="0" borderId="0" xfId="0" applyAlignment="1" applyProtection="1">
      <alignment horizontal="left"/>
      <protection locked="0"/>
    </xf>
    <xf numFmtId="0" fontId="0" fillId="6" borderId="0" xfId="0" applyFill="1" applyAlignment="1" applyProtection="1">
      <alignment horizontal="left"/>
      <protection locked="0"/>
    </xf>
    <xf numFmtId="164" fontId="0" fillId="6" borderId="0" xfId="0" applyNumberFormat="1" applyFill="1" applyAlignment="1" applyProtection="1">
      <alignment horizontal="left"/>
      <protection locked="0"/>
    </xf>
    <xf numFmtId="165" fontId="0" fillId="6" borderId="0" xfId="0" applyNumberFormat="1" applyFill="1" applyAlignment="1" applyProtection="1">
      <alignment horizontal="left"/>
      <protection locked="0"/>
    </xf>
    <xf numFmtId="0" fontId="0" fillId="0" borderId="0" xfId="0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</xf>
    <xf numFmtId="0" fontId="3" fillId="0" borderId="0" xfId="0" applyNumberFormat="1" applyFont="1" applyAlignment="1" applyProtection="1">
      <alignment horizontal="left"/>
    </xf>
    <xf numFmtId="164" fontId="3" fillId="0" borderId="0" xfId="0" applyNumberFormat="1" applyFont="1" applyAlignment="1" applyProtection="1">
      <alignment horizontal="left"/>
    </xf>
    <xf numFmtId="0" fontId="0" fillId="0" borderId="0" xfId="0" applyAlignment="1" applyProtection="1">
      <alignment horizontal="left"/>
    </xf>
    <xf numFmtId="14" fontId="3" fillId="0" borderId="0" xfId="0" applyNumberFormat="1" applyFont="1" applyAlignment="1" applyProtection="1">
      <alignment horizontal="left"/>
    </xf>
    <xf numFmtId="0" fontId="0" fillId="2" borderId="0" xfId="0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  <xf numFmtId="165" fontId="0" fillId="8" borderId="0" xfId="0" applyNumberFormat="1" applyFill="1" applyAlignment="1" applyProtection="1">
      <alignment horizontal="left"/>
    </xf>
    <xf numFmtId="0" fontId="0" fillId="2" borderId="0" xfId="0" applyNumberFormat="1" applyFill="1" applyAlignment="1" applyProtection="1">
      <alignment horizontal="left"/>
    </xf>
    <xf numFmtId="14" fontId="6" fillId="0" borderId="0" xfId="0" applyNumberFormat="1" applyFont="1" applyProtection="1">
      <protection locked="0"/>
    </xf>
    <xf numFmtId="14" fontId="0" fillId="0" borderId="0" xfId="0" quotePrefix="1" applyNumberFormat="1" applyProtection="1"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Protection="1"/>
    <xf numFmtId="0" fontId="3" fillId="2" borderId="0" xfId="0" applyFont="1" applyFill="1" applyProtection="1">
      <protection locked="0"/>
    </xf>
    <xf numFmtId="166" fontId="0" fillId="2" borderId="0" xfId="0" applyNumberFormat="1" applyFill="1" applyAlignment="1" applyProtection="1">
      <alignment horizontal="left"/>
    </xf>
    <xf numFmtId="164" fontId="0" fillId="2" borderId="0" xfId="0" applyNumberFormat="1" applyFill="1" applyProtection="1">
      <protection locked="0"/>
    </xf>
    <xf numFmtId="0" fontId="0" fillId="2" borderId="0" xfId="0" applyNumberFormat="1" applyFill="1" applyAlignment="1" applyProtection="1">
      <alignment horizontal="left"/>
      <protection locked="0"/>
    </xf>
    <xf numFmtId="164" fontId="3" fillId="2" borderId="0" xfId="0" applyNumberFormat="1" applyFont="1" applyFill="1" applyProtection="1"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left"/>
      <protection locked="0"/>
    </xf>
    <xf numFmtId="0" fontId="3" fillId="7" borderId="0" xfId="0" applyFont="1" applyFill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0" fillId="6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0"/>
  <sheetViews>
    <sheetView tabSelected="1" zoomScale="85" zoomScaleNormal="85" workbookViewId="0">
      <selection activeCell="J8" sqref="J8"/>
    </sheetView>
  </sheetViews>
  <sheetFormatPr defaultRowHeight="14.4" x14ac:dyDescent="0.3"/>
  <cols>
    <col min="1" max="1" width="15.109375" style="4" customWidth="1"/>
    <col min="2" max="2" width="11.5546875" style="13" customWidth="1"/>
    <col min="3" max="3" width="4.5546875" style="20" customWidth="1"/>
    <col min="4" max="4" width="45.77734375" style="4" customWidth="1"/>
    <col min="5" max="5" width="13.44140625" style="4" customWidth="1"/>
    <col min="6" max="6" width="10.88671875" style="4" customWidth="1"/>
    <col min="7" max="7" width="4.5546875" style="20" customWidth="1"/>
    <col min="8" max="8" width="40.44140625" style="4" customWidth="1"/>
    <col min="9" max="9" width="16.6640625" style="27" customWidth="1"/>
    <col min="10" max="10" width="18" style="45" customWidth="1"/>
    <col min="11" max="11" width="16.44140625" style="12" customWidth="1"/>
    <col min="12" max="12" width="3.88671875" style="20" customWidth="1"/>
    <col min="13" max="13" width="24.5546875" style="4" customWidth="1"/>
    <col min="14" max="14" width="11.88671875" style="4" customWidth="1"/>
    <col min="15" max="15" width="10.77734375" style="4" customWidth="1"/>
    <col min="16" max="16" width="11.33203125" style="4" customWidth="1"/>
    <col min="17" max="17" width="12.33203125" style="4" customWidth="1"/>
    <col min="18" max="18" width="13.44140625" style="20" customWidth="1"/>
    <col min="19" max="19" width="23.44140625" style="4" customWidth="1"/>
    <col min="20" max="20" width="15.5546875" style="4" customWidth="1"/>
    <col min="21" max="21" width="8.88671875" style="4"/>
    <col min="22" max="23" width="12.33203125" style="4" customWidth="1"/>
    <col min="24" max="24" width="15.77734375" style="20" customWidth="1"/>
    <col min="25" max="16384" width="8.88671875" style="4"/>
  </cols>
  <sheetData>
    <row r="1" spans="1:23" x14ac:dyDescent="0.3">
      <c r="A1" s="89" t="s">
        <v>3</v>
      </c>
      <c r="B1" s="89"/>
      <c r="C1" s="26"/>
      <c r="D1" s="89" t="s">
        <v>15</v>
      </c>
      <c r="E1" s="89"/>
      <c r="F1" s="89"/>
      <c r="G1" s="26"/>
      <c r="H1" s="95" t="s">
        <v>7</v>
      </c>
      <c r="I1" s="95"/>
      <c r="J1" s="95"/>
      <c r="K1" s="95"/>
      <c r="M1" s="89" t="s">
        <v>29</v>
      </c>
      <c r="N1" s="89"/>
      <c r="O1" s="89"/>
      <c r="P1" s="89"/>
      <c r="Q1" s="89"/>
      <c r="S1" s="89" t="s">
        <v>19</v>
      </c>
      <c r="T1" s="89"/>
      <c r="U1" s="89"/>
      <c r="V1" s="89"/>
    </row>
    <row r="2" spans="1:23" x14ac:dyDescent="0.3">
      <c r="A2" s="5" t="s">
        <v>1</v>
      </c>
      <c r="B2" s="6" t="s">
        <v>6</v>
      </c>
      <c r="D2" s="5" t="s">
        <v>0</v>
      </c>
      <c r="E2" s="5" t="s">
        <v>1</v>
      </c>
      <c r="F2" s="5" t="s">
        <v>2</v>
      </c>
      <c r="H2" s="15" t="s">
        <v>0</v>
      </c>
      <c r="I2" s="28" t="s">
        <v>5</v>
      </c>
      <c r="J2" s="44" t="s">
        <v>8</v>
      </c>
      <c r="K2" s="16" t="s">
        <v>13</v>
      </c>
      <c r="M2" s="5" t="s">
        <v>0</v>
      </c>
      <c r="N2" s="5" t="s">
        <v>1</v>
      </c>
      <c r="O2" s="6" t="s">
        <v>2</v>
      </c>
      <c r="P2" s="7" t="s">
        <v>4</v>
      </c>
      <c r="Q2" s="5" t="s">
        <v>5</v>
      </c>
      <c r="S2" s="5" t="s">
        <v>0</v>
      </c>
      <c r="T2" s="5" t="s">
        <v>1</v>
      </c>
      <c r="U2" s="5" t="s">
        <v>2</v>
      </c>
      <c r="V2" s="5" t="s">
        <v>4</v>
      </c>
      <c r="W2" s="5" t="s">
        <v>5</v>
      </c>
    </row>
    <row r="3" spans="1:23" ht="15.6" x14ac:dyDescent="0.3">
      <c r="A3" s="14">
        <v>45643</v>
      </c>
      <c r="B3" s="13">
        <v>160</v>
      </c>
      <c r="D3" s="39" t="s">
        <v>234</v>
      </c>
      <c r="E3" s="11">
        <v>45527</v>
      </c>
      <c r="F3" s="8">
        <v>8</v>
      </c>
      <c r="H3" s="61" t="s">
        <v>185</v>
      </c>
      <c r="I3" s="30">
        <f>SUMIF('CONFINAMENTO-MILHO'!D3:D243,"ABADIN 72 EC - 1 LITRO",'CONFINAMENTO-MILHO'!F3:F243)</f>
        <v>0</v>
      </c>
      <c r="J3" s="62">
        <f>COMPRAS!M3</f>
        <v>0.13</v>
      </c>
      <c r="K3" s="10">
        <f t="shared" ref="K3:K34" si="0">I3*J3</f>
        <v>0</v>
      </c>
      <c r="M3" s="4" t="s">
        <v>91</v>
      </c>
      <c r="N3" s="14">
        <v>45654</v>
      </c>
      <c r="O3" s="13">
        <v>1</v>
      </c>
      <c r="P3" s="12">
        <v>75</v>
      </c>
      <c r="Q3" s="12">
        <f>O3*P3</f>
        <v>75</v>
      </c>
      <c r="S3" s="4" t="s">
        <v>92</v>
      </c>
      <c r="T3" s="14">
        <v>45654</v>
      </c>
      <c r="U3" s="4">
        <v>4</v>
      </c>
      <c r="V3" s="10">
        <v>10</v>
      </c>
      <c r="W3" s="12">
        <f>U3*V3</f>
        <v>40</v>
      </c>
    </row>
    <row r="4" spans="1:23" x14ac:dyDescent="0.3">
      <c r="A4" s="14">
        <v>45644</v>
      </c>
      <c r="B4" s="13">
        <v>190</v>
      </c>
      <c r="D4" s="8" t="s">
        <v>102</v>
      </c>
      <c r="E4" s="11">
        <v>45654</v>
      </c>
      <c r="F4" s="8">
        <v>800</v>
      </c>
      <c r="H4" s="61" t="s">
        <v>184</v>
      </c>
      <c r="I4" s="29">
        <f>SUMIF('CONFINAMENTO-MILHO'!D3:D244,"ABAMEX -1 LITRO",'CONFINAMENTO-MILHO'!F3:F244)</f>
        <v>0</v>
      </c>
      <c r="J4" s="62">
        <f>COMPRAS!M4</f>
        <v>0.05</v>
      </c>
      <c r="K4" s="10">
        <f t="shared" si="0"/>
        <v>0</v>
      </c>
      <c r="M4" s="48" t="s">
        <v>241</v>
      </c>
      <c r="N4" s="49"/>
      <c r="O4" s="49">
        <v>1</v>
      </c>
      <c r="P4" s="50">
        <v>231</v>
      </c>
      <c r="Q4" s="50">
        <f>O4*P4</f>
        <v>231</v>
      </c>
      <c r="S4" s="4" t="s">
        <v>92</v>
      </c>
      <c r="T4" s="11">
        <v>45660</v>
      </c>
      <c r="U4" s="9">
        <v>4</v>
      </c>
      <c r="V4" s="10">
        <v>10</v>
      </c>
      <c r="W4" s="12">
        <f t="shared" ref="W4:W5" si="1">U4*V4</f>
        <v>40</v>
      </c>
    </row>
    <row r="5" spans="1:23" ht="15.6" x14ac:dyDescent="0.3">
      <c r="A5" s="14">
        <v>45645</v>
      </c>
      <c r="B5" s="13">
        <v>200</v>
      </c>
      <c r="D5" s="23" t="s">
        <v>94</v>
      </c>
      <c r="E5" s="11">
        <v>45654</v>
      </c>
      <c r="F5" s="8">
        <v>80</v>
      </c>
      <c r="H5" s="39" t="s">
        <v>117</v>
      </c>
      <c r="I5" s="30">
        <f>SUMIF('CONFINAMENTO-MILHO'!D3:D244,"ABAMEX MAXX 72% 12X1 LT",'CONFINAMENTO-MILHO'!F3:F244)</f>
        <v>0</v>
      </c>
      <c r="J5" s="62">
        <f>COMPRAS!M5</f>
        <v>0.1</v>
      </c>
      <c r="K5" s="10">
        <f t="shared" si="0"/>
        <v>0</v>
      </c>
      <c r="M5" s="48" t="s">
        <v>243</v>
      </c>
      <c r="N5" s="49"/>
      <c r="O5" s="49">
        <v>3</v>
      </c>
      <c r="P5" s="50">
        <v>80</v>
      </c>
      <c r="Q5" s="50">
        <f>U5*P5</f>
        <v>320</v>
      </c>
      <c r="S5" s="4" t="s">
        <v>92</v>
      </c>
      <c r="T5" s="11">
        <v>45664</v>
      </c>
      <c r="U5" s="9">
        <v>4</v>
      </c>
      <c r="V5" s="10">
        <v>10</v>
      </c>
      <c r="W5" s="12">
        <f t="shared" si="1"/>
        <v>40</v>
      </c>
    </row>
    <row r="6" spans="1:23" ht="15.6" x14ac:dyDescent="0.3">
      <c r="A6" s="14">
        <v>45646</v>
      </c>
      <c r="B6" s="13">
        <v>200</v>
      </c>
      <c r="D6" s="25" t="s">
        <v>93</v>
      </c>
      <c r="E6" s="11">
        <v>45659</v>
      </c>
      <c r="F6" s="8">
        <v>72</v>
      </c>
      <c r="H6" s="23" t="s">
        <v>72</v>
      </c>
      <c r="I6" s="29">
        <f>SUMIF('CONFINAMENTO-MILHO'!D3:D222,"ACIDO BORICO SECO 25K ",'CONFINAMENTO-MILHO'!F3:F222)</f>
        <v>0</v>
      </c>
      <c r="J6" s="62">
        <f>COMPRAS!M6</f>
        <v>10.199999999999999</v>
      </c>
      <c r="K6" s="10">
        <f t="shared" si="0"/>
        <v>0</v>
      </c>
      <c r="M6" s="48" t="s">
        <v>244</v>
      </c>
      <c r="N6" s="51"/>
      <c r="O6" s="52">
        <v>1</v>
      </c>
      <c r="P6" s="53">
        <v>80</v>
      </c>
      <c r="Q6" s="50">
        <f t="shared" ref="Q6:Q20" si="2">O6*P6</f>
        <v>80</v>
      </c>
      <c r="R6" s="20" t="s">
        <v>92</v>
      </c>
      <c r="S6" s="4" t="s">
        <v>92</v>
      </c>
      <c r="T6" s="11">
        <v>45675</v>
      </c>
      <c r="U6" s="8">
        <v>4</v>
      </c>
      <c r="V6" s="10">
        <v>10</v>
      </c>
      <c r="W6" s="12">
        <f t="shared" ref="W6:W7" si="3">U6*V6</f>
        <v>40</v>
      </c>
    </row>
    <row r="7" spans="1:23" ht="15.6" x14ac:dyDescent="0.3">
      <c r="A7" s="14">
        <v>45647</v>
      </c>
      <c r="B7" s="13">
        <v>220</v>
      </c>
      <c r="D7" s="25" t="s">
        <v>38</v>
      </c>
      <c r="E7" s="11">
        <v>45660</v>
      </c>
      <c r="F7" s="8">
        <v>160</v>
      </c>
      <c r="H7" s="39" t="s">
        <v>181</v>
      </c>
      <c r="I7" s="30">
        <f>SUMIF('CONFINAMENTO-MILHO'!D3:D222,"ADESIL - 1 LITRO ",'CONFINAMENTO-MILHO'!F3:F222)</f>
        <v>0</v>
      </c>
      <c r="J7" s="62">
        <f>COMPRAS!M7</f>
        <v>2.5000000000000001E-2</v>
      </c>
      <c r="K7" s="10">
        <f t="shared" si="0"/>
        <v>0</v>
      </c>
      <c r="M7" s="48" t="s">
        <v>245</v>
      </c>
      <c r="N7" s="51"/>
      <c r="O7" s="52">
        <v>1</v>
      </c>
      <c r="P7" s="53">
        <v>80</v>
      </c>
      <c r="Q7" s="50">
        <f t="shared" si="2"/>
        <v>80</v>
      </c>
      <c r="S7" s="4" t="s">
        <v>92</v>
      </c>
      <c r="T7" s="11">
        <v>45678</v>
      </c>
      <c r="U7" s="8">
        <v>6</v>
      </c>
      <c r="V7" s="10">
        <v>10</v>
      </c>
      <c r="W7" s="12">
        <f t="shared" si="3"/>
        <v>60</v>
      </c>
    </row>
    <row r="8" spans="1:23" ht="15.6" x14ac:dyDescent="0.3">
      <c r="A8" s="14">
        <v>45648</v>
      </c>
      <c r="B8" s="13">
        <v>200</v>
      </c>
      <c r="D8" s="2" t="s">
        <v>94</v>
      </c>
      <c r="E8" s="11">
        <v>45660</v>
      </c>
      <c r="F8" s="8">
        <v>80</v>
      </c>
      <c r="H8" s="39" t="s">
        <v>115</v>
      </c>
      <c r="I8" s="30">
        <f>SUMIF('CONFINAMENTO-MILHO'!D3:D222,"AGRUMAX MZ 4X5 KG ",'CONFINAMENTO-MILHO'!F3:F222)</f>
        <v>0</v>
      </c>
      <c r="J8" s="62">
        <f>COMPRAS!M8</f>
        <v>3.2000000000000001E-2</v>
      </c>
      <c r="K8" s="10">
        <f t="shared" si="0"/>
        <v>0</v>
      </c>
      <c r="M8" s="48" t="s">
        <v>246</v>
      </c>
      <c r="N8" s="51"/>
      <c r="O8" s="52">
        <v>1</v>
      </c>
      <c r="P8" s="53">
        <v>240</v>
      </c>
      <c r="Q8" s="50">
        <f t="shared" si="2"/>
        <v>240</v>
      </c>
      <c r="S8" s="4" t="s">
        <v>92</v>
      </c>
      <c r="T8" s="14">
        <v>45693</v>
      </c>
      <c r="U8" s="4">
        <v>2</v>
      </c>
      <c r="V8" s="10">
        <v>10</v>
      </c>
      <c r="W8" s="12">
        <f t="shared" ref="W8" si="4">U8*V8</f>
        <v>20</v>
      </c>
    </row>
    <row r="9" spans="1:23" ht="15.6" x14ac:dyDescent="0.3">
      <c r="A9" s="14">
        <v>45649</v>
      </c>
      <c r="B9" s="13">
        <v>210</v>
      </c>
      <c r="D9" s="2" t="s">
        <v>103</v>
      </c>
      <c r="E9" s="11">
        <v>45660</v>
      </c>
      <c r="F9" s="8">
        <v>120</v>
      </c>
      <c r="H9" s="25" t="s">
        <v>35</v>
      </c>
      <c r="I9" s="29">
        <f>SUMIF('CONFINAMENTO-MILHO'!D3:D223,"AMISTAR TOP 1 L",'CONFINAMENTO-MILHO'!F3:F223)</f>
        <v>0</v>
      </c>
      <c r="J9" s="62">
        <f>COMPRAS!M9</f>
        <v>0.20499999999999999</v>
      </c>
      <c r="K9" s="10">
        <f t="shared" si="0"/>
        <v>0</v>
      </c>
      <c r="M9" s="8" t="s">
        <v>248</v>
      </c>
      <c r="N9" s="11"/>
      <c r="O9" s="9">
        <v>1</v>
      </c>
      <c r="P9" s="10">
        <v>1050</v>
      </c>
      <c r="Q9" s="12">
        <f t="shared" si="2"/>
        <v>1050</v>
      </c>
      <c r="T9" s="14"/>
      <c r="V9" s="10"/>
      <c r="W9" s="12"/>
    </row>
    <row r="10" spans="1:23" ht="15.6" x14ac:dyDescent="0.3">
      <c r="A10" s="14">
        <v>45650</v>
      </c>
      <c r="B10" s="13">
        <v>160</v>
      </c>
      <c r="D10" s="23" t="s">
        <v>191</v>
      </c>
      <c r="E10" s="11">
        <v>45660</v>
      </c>
      <c r="F10" s="8">
        <v>120</v>
      </c>
      <c r="H10" s="23" t="s">
        <v>41</v>
      </c>
      <c r="I10" s="29">
        <f>SUMIF('CONFINAMENTO-MILHO'!D3:D223,"AMISTAR WG 6X500 G-1 KILO",'CONFINAMENTO-MILHO'!F3:F223)</f>
        <v>0</v>
      </c>
      <c r="J10" s="62">
        <f>COMPRAS!M10</f>
        <v>0.2</v>
      </c>
      <c r="K10" s="10">
        <f t="shared" si="0"/>
        <v>0</v>
      </c>
      <c r="M10" s="8" t="s">
        <v>249</v>
      </c>
      <c r="N10" s="11"/>
      <c r="O10" s="9">
        <v>672</v>
      </c>
      <c r="P10" s="10">
        <v>1.35</v>
      </c>
      <c r="Q10" s="12">
        <f t="shared" si="2"/>
        <v>907.2</v>
      </c>
      <c r="T10" s="11"/>
      <c r="U10" s="8"/>
      <c r="V10" s="10"/>
      <c r="W10" s="12"/>
    </row>
    <row r="11" spans="1:23" ht="15.6" x14ac:dyDescent="0.3">
      <c r="A11" s="14">
        <v>45651</v>
      </c>
      <c r="D11" s="23" t="s">
        <v>95</v>
      </c>
      <c r="E11" s="11">
        <v>45664</v>
      </c>
      <c r="F11" s="8">
        <v>400</v>
      </c>
      <c r="H11" s="23" t="s">
        <v>23</v>
      </c>
      <c r="I11" s="29">
        <f>SUMIF('CONFINAMENTO-MILHO'!D3:D223,"AMPLIGO 250 ML",'CONFINAMENTO-MILHO'!F3:F223)</f>
        <v>0</v>
      </c>
      <c r="J11" s="62">
        <f>COMPRAS!M11</f>
        <v>0.39</v>
      </c>
      <c r="K11" s="10">
        <f t="shared" si="0"/>
        <v>0</v>
      </c>
      <c r="M11" s="8" t="s">
        <v>250</v>
      </c>
      <c r="N11" s="11"/>
      <c r="O11" s="9">
        <v>14</v>
      </c>
      <c r="P11" s="10">
        <v>80</v>
      </c>
      <c r="Q11" s="12">
        <f t="shared" si="2"/>
        <v>1120</v>
      </c>
      <c r="S11" s="8"/>
      <c r="T11" s="11"/>
      <c r="U11" s="8"/>
      <c r="V11" s="10"/>
      <c r="W11" s="12"/>
    </row>
    <row r="12" spans="1:23" ht="15.6" x14ac:dyDescent="0.3">
      <c r="A12" s="14">
        <v>45652</v>
      </c>
      <c r="B12" s="13">
        <v>180</v>
      </c>
      <c r="D12" s="25" t="s">
        <v>103</v>
      </c>
      <c r="E12" s="11">
        <v>45664</v>
      </c>
      <c r="F12" s="8">
        <v>120</v>
      </c>
      <c r="H12" s="24" t="s">
        <v>68</v>
      </c>
      <c r="I12" s="30">
        <f>SUMIF('CONFINAMENTO-MILHO'!D3:D243,"AVATAR 1 L",'CONFINAMENTO-MILHO'!F3:F243)</f>
        <v>0</v>
      </c>
      <c r="J12" s="62">
        <f>COMPRAS!M12</f>
        <v>0.375</v>
      </c>
      <c r="K12" s="10">
        <f t="shared" si="0"/>
        <v>0</v>
      </c>
      <c r="M12" s="8"/>
      <c r="N12" s="11"/>
      <c r="O12" s="9"/>
      <c r="P12" s="10"/>
      <c r="Q12" s="12">
        <f t="shared" si="2"/>
        <v>0</v>
      </c>
      <c r="S12" s="8"/>
      <c r="T12" s="11"/>
      <c r="U12" s="8"/>
      <c r="V12" s="10"/>
      <c r="W12" s="12"/>
    </row>
    <row r="13" spans="1:23" ht="15.6" x14ac:dyDescent="0.3">
      <c r="A13" s="14">
        <v>45653</v>
      </c>
      <c r="B13" s="13">
        <v>180</v>
      </c>
      <c r="D13" s="23" t="s">
        <v>190</v>
      </c>
      <c r="E13" s="11">
        <v>45664</v>
      </c>
      <c r="F13" s="8">
        <v>480</v>
      </c>
      <c r="H13" s="25" t="s">
        <v>33</v>
      </c>
      <c r="I13" s="29">
        <f>SUMIF('CONFINAMENTO-MILHO'!D3:D230,"BARBANTE EM NOVELO N10 BRANCO",'CONFINAMENTO-MILHO'!F3:F230)</f>
        <v>0</v>
      </c>
      <c r="J13" s="62">
        <f>COMPRAS!M13</f>
        <v>29.625</v>
      </c>
      <c r="K13" s="10">
        <f t="shared" si="0"/>
        <v>0</v>
      </c>
      <c r="M13" s="8"/>
      <c r="N13" s="11"/>
      <c r="O13" s="9"/>
      <c r="P13" s="10"/>
      <c r="Q13" s="12">
        <f t="shared" si="2"/>
        <v>0</v>
      </c>
      <c r="S13" s="8"/>
      <c r="T13" s="11"/>
      <c r="U13" s="8"/>
      <c r="V13" s="10"/>
      <c r="W13" s="12"/>
    </row>
    <row r="14" spans="1:23" ht="15.6" x14ac:dyDescent="0.3">
      <c r="A14" s="14">
        <v>45654</v>
      </c>
      <c r="B14" s="13">
        <v>180</v>
      </c>
      <c r="D14" s="23" t="s">
        <v>95</v>
      </c>
      <c r="E14" s="11">
        <v>45675</v>
      </c>
      <c r="F14" s="8">
        <v>400</v>
      </c>
      <c r="H14" s="25" t="s">
        <v>32</v>
      </c>
      <c r="I14" s="29">
        <f>SUMIF('CONFINAMENTO-MILHO'!D3:D229,"BARBANTE EM NOVELO N8 OURO",'CONFINAMENTO-MILHO'!F3:F229)</f>
        <v>0</v>
      </c>
      <c r="J14" s="62">
        <f>COMPRAS!M14</f>
        <v>31.576923076923077</v>
      </c>
      <c r="K14" s="10">
        <f t="shared" si="0"/>
        <v>0</v>
      </c>
      <c r="M14" s="8"/>
      <c r="N14" s="11"/>
      <c r="O14" s="9"/>
      <c r="P14" s="10"/>
      <c r="Q14" s="12">
        <f t="shared" si="2"/>
        <v>0</v>
      </c>
      <c r="S14" s="8"/>
      <c r="T14" s="14"/>
      <c r="U14" s="8"/>
      <c r="V14" s="10"/>
      <c r="W14" s="12"/>
    </row>
    <row r="15" spans="1:23" ht="15.6" x14ac:dyDescent="0.3">
      <c r="A15" s="14">
        <v>45655</v>
      </c>
      <c r="B15" s="13">
        <v>160</v>
      </c>
      <c r="D15" s="23" t="s">
        <v>103</v>
      </c>
      <c r="E15" s="11">
        <v>45675</v>
      </c>
      <c r="F15" s="8">
        <v>120</v>
      </c>
      <c r="H15" s="25" t="s">
        <v>73</v>
      </c>
      <c r="I15" s="30">
        <f>SUMIF('CONFINAMENTO-MILHO'!D3:D243,"BENZOATO 1K",'CONFINAMENTO-MILHO'!F3:F243)</f>
        <v>0</v>
      </c>
      <c r="J15" s="62">
        <f>COMPRAS!M15</f>
        <v>0.45</v>
      </c>
      <c r="K15" s="10">
        <f t="shared" si="0"/>
        <v>0</v>
      </c>
      <c r="M15" s="8"/>
      <c r="N15" s="11"/>
      <c r="O15" s="9"/>
      <c r="P15" s="10"/>
      <c r="Q15" s="12">
        <f t="shared" si="2"/>
        <v>0</v>
      </c>
      <c r="S15" s="8"/>
      <c r="T15" s="14"/>
      <c r="U15" s="8"/>
      <c r="V15" s="10"/>
      <c r="W15" s="12"/>
    </row>
    <row r="16" spans="1:23" ht="15.6" x14ac:dyDescent="0.3">
      <c r="A16" s="14">
        <v>45656</v>
      </c>
      <c r="B16" s="13">
        <v>170</v>
      </c>
      <c r="D16" s="23" t="s">
        <v>191</v>
      </c>
      <c r="E16" s="11">
        <v>45675</v>
      </c>
      <c r="F16" s="8">
        <v>240</v>
      </c>
      <c r="H16" s="23" t="s">
        <v>44</v>
      </c>
      <c r="I16" s="29">
        <f>SUMIF('CONFINAMENTO-MILHO'!D3:D222,"BION 500 WG  25 G",'CONFINAMENTO-MILHO'!F3:F222)</f>
        <v>0</v>
      </c>
      <c r="J16" s="62">
        <f>COMPRAS!M16</f>
        <v>2.8</v>
      </c>
      <c r="K16" s="10">
        <f t="shared" si="0"/>
        <v>0</v>
      </c>
      <c r="M16" s="8"/>
      <c r="N16" s="11"/>
      <c r="O16" s="9"/>
      <c r="P16" s="10"/>
      <c r="Q16" s="12">
        <f t="shared" si="2"/>
        <v>0</v>
      </c>
      <c r="S16" s="8"/>
      <c r="T16" s="14"/>
      <c r="U16" s="8"/>
      <c r="V16" s="10"/>
      <c r="W16" s="12"/>
    </row>
    <row r="17" spans="1:23" ht="15.6" x14ac:dyDescent="0.3">
      <c r="A17" s="14">
        <v>45657</v>
      </c>
      <c r="D17" s="8" t="s">
        <v>102</v>
      </c>
      <c r="E17" s="11">
        <v>45676</v>
      </c>
      <c r="F17" s="8">
        <v>1500</v>
      </c>
      <c r="H17" s="23" t="s">
        <v>34</v>
      </c>
      <c r="I17" s="29">
        <f>SUMIF('CONFINAMENTO-MILHO'!D3:D222,"BRAVONIL ULTREX 1 KILO",'CONFINAMENTO-MILHO'!F3:F222)</f>
        <v>0</v>
      </c>
      <c r="J17" s="62">
        <f>COMPRAS!M17</f>
        <v>0.1</v>
      </c>
      <c r="K17" s="10">
        <f t="shared" si="0"/>
        <v>0</v>
      </c>
      <c r="M17" s="8"/>
      <c r="N17" s="11"/>
      <c r="O17" s="9"/>
      <c r="P17" s="10"/>
      <c r="Q17" s="12">
        <f t="shared" si="2"/>
        <v>0</v>
      </c>
      <c r="S17" s="8"/>
      <c r="T17" s="14"/>
      <c r="U17" s="8"/>
      <c r="V17" s="10"/>
      <c r="W17" s="12"/>
    </row>
    <row r="18" spans="1:23" ht="15.6" x14ac:dyDescent="0.3">
      <c r="A18" s="14">
        <v>45658</v>
      </c>
      <c r="D18" s="23" t="s">
        <v>93</v>
      </c>
      <c r="E18" s="11">
        <v>45678</v>
      </c>
      <c r="F18" s="8">
        <v>40</v>
      </c>
      <c r="H18" s="23" t="s">
        <v>94</v>
      </c>
      <c r="I18" s="30">
        <f>SUMIF('CONFINAMENTO-MILHO'!D3:D242,"BRIT",'CONFINAMENTO-MILHO'!F3:F242)</f>
        <v>160</v>
      </c>
      <c r="J18" s="62">
        <f>COMPRAS!M18</f>
        <v>6.5000000000000002E-2</v>
      </c>
      <c r="K18" s="10">
        <f t="shared" si="0"/>
        <v>10.4</v>
      </c>
      <c r="M18" s="8"/>
      <c r="N18" s="10"/>
      <c r="O18" s="9"/>
      <c r="P18" s="10"/>
      <c r="Q18" s="12">
        <f t="shared" si="2"/>
        <v>0</v>
      </c>
      <c r="S18" s="8"/>
      <c r="T18" s="14"/>
      <c r="U18" s="8"/>
      <c r="V18" s="10"/>
      <c r="W18" s="12"/>
    </row>
    <row r="19" spans="1:23" ht="15.6" x14ac:dyDescent="0.3">
      <c r="A19" s="14">
        <v>45659</v>
      </c>
      <c r="D19" s="23" t="s">
        <v>236</v>
      </c>
      <c r="E19" s="11">
        <v>45678</v>
      </c>
      <c r="F19" s="8">
        <v>40</v>
      </c>
      <c r="H19" s="23" t="s">
        <v>28</v>
      </c>
      <c r="I19" s="29">
        <f>SUMIF('CONFINAMENTO-MILHO'!D3:D222,"CAIXA PARA TOMATE ",'CONFINAMENTO-MILHO'!F3:F222)</f>
        <v>0</v>
      </c>
      <c r="J19" s="62">
        <f>COMPRAS!M19</f>
        <v>0</v>
      </c>
      <c r="K19" s="10">
        <f t="shared" si="0"/>
        <v>0</v>
      </c>
      <c r="M19" s="8"/>
      <c r="N19" s="11"/>
      <c r="O19" s="9"/>
      <c r="P19" s="10"/>
      <c r="Q19" s="12">
        <f t="shared" si="2"/>
        <v>0</v>
      </c>
    </row>
    <row r="20" spans="1:23" ht="15.6" x14ac:dyDescent="0.3">
      <c r="A20" s="14">
        <v>45660</v>
      </c>
      <c r="B20" s="13">
        <v>80</v>
      </c>
      <c r="D20" s="25" t="s">
        <v>240</v>
      </c>
      <c r="E20" s="11">
        <v>45678</v>
      </c>
      <c r="F20" s="8">
        <v>40</v>
      </c>
      <c r="H20" s="25" t="s">
        <v>39</v>
      </c>
      <c r="I20" s="29">
        <f>SUMIF('CONFINAMENTO-MILHO'!D3:D233,"CAL SUPER 5 LITROS",'CONFINAMENTO-MILHO'!F3:F233)</f>
        <v>0</v>
      </c>
      <c r="J20" s="62">
        <f>COMPRAS!M20</f>
        <v>4.3999999999999997E-2</v>
      </c>
      <c r="K20" s="10">
        <f t="shared" si="0"/>
        <v>0</v>
      </c>
      <c r="M20" s="8"/>
      <c r="N20" s="11"/>
      <c r="O20" s="9"/>
      <c r="P20" s="12"/>
      <c r="Q20" s="12">
        <f t="shared" si="2"/>
        <v>0</v>
      </c>
      <c r="S20" s="8"/>
      <c r="T20" s="14"/>
      <c r="U20" s="8"/>
      <c r="V20" s="10"/>
      <c r="W20" s="12"/>
    </row>
    <row r="21" spans="1:23" ht="15.6" x14ac:dyDescent="0.3">
      <c r="A21" s="14">
        <v>45661</v>
      </c>
      <c r="B21" s="13">
        <v>120</v>
      </c>
      <c r="D21" s="23" t="s">
        <v>103</v>
      </c>
      <c r="E21" s="11">
        <v>45693</v>
      </c>
      <c r="F21" s="8">
        <v>60</v>
      </c>
      <c r="H21" s="23" t="s">
        <v>195</v>
      </c>
      <c r="I21" s="29">
        <f>SUMIF('CONFINAMENTO-MILHO'!D3:D247,"CARNADINE- 1 LITRO",'CONFINAMENTO-MILHO'!F3:F247)</f>
        <v>0</v>
      </c>
      <c r="J21" s="62">
        <f>COMPRAS!M21</f>
        <v>6.0833333333333336E-2</v>
      </c>
      <c r="K21" s="10">
        <f t="shared" si="0"/>
        <v>0</v>
      </c>
      <c r="M21" s="8"/>
      <c r="N21" s="11"/>
      <c r="O21" s="9"/>
      <c r="P21" s="12"/>
      <c r="Q21" s="12"/>
      <c r="S21" s="8"/>
      <c r="T21" s="14"/>
      <c r="U21" s="8"/>
      <c r="V21" s="10"/>
      <c r="W21" s="12"/>
    </row>
    <row r="22" spans="1:23" ht="15.6" x14ac:dyDescent="0.3">
      <c r="A22" s="14">
        <v>45662</v>
      </c>
      <c r="D22" s="23" t="s">
        <v>90</v>
      </c>
      <c r="E22" s="11">
        <v>45693</v>
      </c>
      <c r="F22" s="8">
        <v>60</v>
      </c>
      <c r="H22" s="39" t="s">
        <v>197</v>
      </c>
      <c r="I22" s="30">
        <f>SUMIF('CONFINAMENTO-MILHO'!D3:D247,"CERCOBIN 875 WG- 1 KG",'CONFINAMENTO-MILHO'!F3:F247)</f>
        <v>0</v>
      </c>
      <c r="J22" s="62">
        <f>COMPRAS!M22</f>
        <v>8.5000000000000006E-2</v>
      </c>
      <c r="K22" s="10">
        <f t="shared" si="0"/>
        <v>0</v>
      </c>
      <c r="M22" s="8"/>
      <c r="N22" s="11"/>
      <c r="O22" s="9"/>
      <c r="P22" s="12"/>
      <c r="Q22" s="12"/>
      <c r="S22" s="8"/>
      <c r="T22" s="14"/>
      <c r="U22" s="8"/>
      <c r="V22" s="10"/>
      <c r="W22" s="12"/>
    </row>
    <row r="23" spans="1:23" ht="15.6" x14ac:dyDescent="0.3">
      <c r="A23" s="14">
        <v>45663</v>
      </c>
      <c r="D23" s="23" t="s">
        <v>231</v>
      </c>
      <c r="E23" s="11">
        <v>45724</v>
      </c>
      <c r="F23" s="8">
        <v>104</v>
      </c>
      <c r="H23" s="17" t="s">
        <v>87</v>
      </c>
      <c r="I23" s="30">
        <f>SUMIF('CONFINAMENTO-MILHO'!D3:D243,"D FIX - 1 LITRO",'CONFINAMENTO-MILHO'!F3:F243)</f>
        <v>0</v>
      </c>
      <c r="J23" s="62">
        <f>COMPRAS!M23</f>
        <v>0.11</v>
      </c>
      <c r="K23" s="10">
        <f t="shared" si="0"/>
        <v>0</v>
      </c>
      <c r="M23" s="8"/>
      <c r="N23" s="11"/>
      <c r="O23" s="9"/>
      <c r="P23" s="12"/>
      <c r="Q23" s="12"/>
      <c r="V23" s="12"/>
    </row>
    <row r="24" spans="1:23" ht="15.6" x14ac:dyDescent="0.3">
      <c r="A24" s="14">
        <v>45664</v>
      </c>
      <c r="B24" s="13">
        <v>90</v>
      </c>
      <c r="E24" s="11"/>
      <c r="F24" s="8"/>
      <c r="H24" s="25" t="s">
        <v>88</v>
      </c>
      <c r="I24" s="30">
        <f>SUMIF('CONFINAMENTO-MILHO'!D3:D243,"D S30 - 1 LITRO",'CONFINAMENTO-MILHO'!F3:F243)</f>
        <v>0</v>
      </c>
      <c r="J24" s="62">
        <f>COMPRAS!M24</f>
        <v>6.5000000000000002E-2</v>
      </c>
      <c r="K24" s="10">
        <f t="shared" si="0"/>
        <v>0</v>
      </c>
      <c r="M24" s="8"/>
      <c r="N24" s="11"/>
      <c r="O24" s="9"/>
      <c r="P24" s="12"/>
      <c r="Q24" s="12"/>
      <c r="V24" s="12"/>
    </row>
    <row r="25" spans="1:23" ht="15.6" x14ac:dyDescent="0.3">
      <c r="A25" s="14">
        <v>45665</v>
      </c>
      <c r="H25" s="25" t="s">
        <v>85</v>
      </c>
      <c r="I25" s="30">
        <f>SUMIF('CONFINAMENTO-MILHO'!D3:D243,"DELEGATE(TM) - FR 120 GR",'CONFINAMENTO-MILHO'!F3:F243)</f>
        <v>0</v>
      </c>
      <c r="J25" s="62">
        <f>COMPRAS!M25</f>
        <v>2.75</v>
      </c>
      <c r="K25" s="10">
        <f t="shared" si="0"/>
        <v>0</v>
      </c>
      <c r="M25" s="8"/>
      <c r="N25" s="14"/>
      <c r="O25" s="9"/>
      <c r="P25" s="12"/>
      <c r="Q25" s="12"/>
      <c r="T25" s="14"/>
      <c r="V25" s="12"/>
    </row>
    <row r="26" spans="1:23" ht="15.6" x14ac:dyDescent="0.3">
      <c r="A26" s="14">
        <v>45666</v>
      </c>
      <c r="D26" s="33"/>
      <c r="E26" s="11"/>
      <c r="H26" s="25" t="s">
        <v>70</v>
      </c>
      <c r="I26" s="30">
        <f>SUMIF('CONFINAMENTO-MILHO'!D3:D243,"DFULL 1 LITRO",'CONFINAMENTO-MILHO'!F3:F243)</f>
        <v>0</v>
      </c>
      <c r="J26" s="62">
        <f>COMPRAS!M26</f>
        <v>0.155</v>
      </c>
      <c r="K26" s="10">
        <f t="shared" si="0"/>
        <v>0</v>
      </c>
      <c r="M26" s="8"/>
      <c r="N26" s="14"/>
      <c r="O26" s="9"/>
      <c r="P26" s="12"/>
      <c r="Q26" s="12"/>
      <c r="T26" s="14"/>
      <c r="V26" s="12"/>
    </row>
    <row r="27" spans="1:23" ht="15.6" x14ac:dyDescent="0.3">
      <c r="A27" s="14">
        <v>45667</v>
      </c>
      <c r="D27" s="2"/>
      <c r="E27" s="11"/>
      <c r="H27" s="39" t="s">
        <v>189</v>
      </c>
      <c r="I27" s="30">
        <f>SUMIF('CONFINAMENTO-MILHO'!D3:D243,"DICARZOL 500 SP 12 X 500 GRS",'CONFINAMENTO-MILHO'!F3:F243)</f>
        <v>0</v>
      </c>
      <c r="J27" s="62">
        <f>COMPRAS!M27</f>
        <v>0.76</v>
      </c>
      <c r="K27" s="10">
        <f t="shared" si="0"/>
        <v>0</v>
      </c>
      <c r="M27" s="8"/>
      <c r="N27" s="8"/>
      <c r="O27" s="9"/>
      <c r="P27" s="12"/>
      <c r="Q27" s="12"/>
      <c r="T27" s="14"/>
      <c r="V27" s="12"/>
    </row>
    <row r="28" spans="1:23" ht="15.6" x14ac:dyDescent="0.3">
      <c r="A28" s="14">
        <v>45668</v>
      </c>
      <c r="D28" s="23"/>
      <c r="E28" s="11"/>
      <c r="H28" s="25" t="s">
        <v>79</v>
      </c>
      <c r="I28" s="30">
        <f>SUMIF('CONFINAMENTO-MILHO'!D3:D243,"DISPAROULTRA-S - GL DE 5 LITROS",'CONFINAMENTO-MILHO'!F3:F243)</f>
        <v>0</v>
      </c>
      <c r="J28" s="62">
        <f>COMPRAS!M28</f>
        <v>2.8000000000000001E-2</v>
      </c>
      <c r="K28" s="10">
        <f t="shared" si="0"/>
        <v>0</v>
      </c>
      <c r="P28" s="10"/>
      <c r="V28" s="12"/>
    </row>
    <row r="29" spans="1:23" ht="15.6" x14ac:dyDescent="0.3">
      <c r="A29" s="14">
        <v>45669</v>
      </c>
      <c r="D29" s="23"/>
      <c r="E29" s="11"/>
      <c r="H29" s="25" t="s">
        <v>80</v>
      </c>
      <c r="I29" s="30">
        <f>SUMIF('CONFINAMENTO-MILHO'!D3:D243,"DOMINUM XT-S - GL 5 LITROS",'CONFINAMENTO-MILHO'!F3:F243)</f>
        <v>0</v>
      </c>
      <c r="J29" s="62">
        <f>COMPRAS!M29</f>
        <v>0.128</v>
      </c>
      <c r="K29" s="10">
        <f t="shared" si="0"/>
        <v>0</v>
      </c>
      <c r="M29" s="8"/>
      <c r="N29" s="8"/>
      <c r="O29" s="9"/>
      <c r="P29" s="10"/>
      <c r="V29" s="12"/>
    </row>
    <row r="30" spans="1:23" ht="15.6" x14ac:dyDescent="0.3">
      <c r="A30" s="14">
        <v>45670</v>
      </c>
      <c r="D30" s="25"/>
      <c r="E30" s="11"/>
      <c r="H30" s="39" t="s">
        <v>116</v>
      </c>
      <c r="I30" s="30">
        <f>SUMIF('CONFINAMENTO-MILHO'!D3:D243,"DRIPSOL BORO K 00.00.01+17% BORO 25 k",'CONFINAMENTO-MILHO'!F3:F243)</f>
        <v>0</v>
      </c>
      <c r="J30" s="62">
        <f>COMPRAS!M30</f>
        <v>11.4</v>
      </c>
      <c r="K30" s="10">
        <f t="shared" si="0"/>
        <v>0</v>
      </c>
      <c r="M30" s="8"/>
      <c r="N30" s="8"/>
      <c r="O30" s="9"/>
      <c r="P30" s="10"/>
      <c r="V30" s="12"/>
    </row>
    <row r="31" spans="1:23" ht="15.6" x14ac:dyDescent="0.3">
      <c r="A31" s="14">
        <v>45671</v>
      </c>
      <c r="D31" s="25"/>
      <c r="E31" s="11"/>
      <c r="H31" s="25" t="s">
        <v>109</v>
      </c>
      <c r="I31" s="29">
        <f>SUMIF('CONFINAMENTO-MILHO'!D3:D238,"DRIPSOL CRESCIMENTO 24-10-10 25 KG",'CONFINAMENTO-MILHO'!F3:F238)</f>
        <v>0</v>
      </c>
      <c r="J31" s="62">
        <f>COMPRAS!M31</f>
        <v>10.6</v>
      </c>
      <c r="K31" s="10">
        <f t="shared" si="0"/>
        <v>0</v>
      </c>
      <c r="O31" s="13"/>
      <c r="P31" s="12"/>
      <c r="V31" s="12"/>
    </row>
    <row r="32" spans="1:23" ht="15.6" x14ac:dyDescent="0.3">
      <c r="A32" s="14">
        <v>45672</v>
      </c>
      <c r="D32" s="23"/>
      <c r="E32" s="11"/>
      <c r="H32" s="23" t="s">
        <v>40</v>
      </c>
      <c r="I32" s="29">
        <f>SUMIF('CONFINAMENTO-MILHO'!D3:D222,"DRIPSOL INICIAL 15-30-15 25 KG",'CONFINAMENTO-MILHO'!F3:F222)</f>
        <v>0</v>
      </c>
      <c r="J32" s="62">
        <f>COMPRAS!M32</f>
        <v>9.2769230769230777</v>
      </c>
      <c r="K32" s="10">
        <f t="shared" si="0"/>
        <v>0</v>
      </c>
      <c r="M32" s="8"/>
      <c r="N32" s="8"/>
      <c r="O32" s="9"/>
      <c r="P32" s="10"/>
      <c r="V32" s="12"/>
    </row>
    <row r="33" spans="1:23" ht="15.6" x14ac:dyDescent="0.3">
      <c r="A33" s="14">
        <v>45673</v>
      </c>
      <c r="D33" s="25"/>
      <c r="E33" s="11"/>
      <c r="H33" s="23" t="s">
        <v>47</v>
      </c>
      <c r="I33" s="29">
        <f>SUMIF('CONFINAMENTO-MILHO'!D3:D222,"DRIPSOL MICRO REXENE 700 GRAMAS",'CONFINAMENTO-MILHO'!F3:F222)</f>
        <v>0</v>
      </c>
      <c r="J33" s="62">
        <f>COMPRAS!M33</f>
        <v>8.2857142857142851E-2</v>
      </c>
      <c r="K33" s="10">
        <f t="shared" si="0"/>
        <v>0</v>
      </c>
      <c r="M33" s="8"/>
      <c r="N33" s="8"/>
      <c r="O33" s="9"/>
      <c r="P33" s="10"/>
      <c r="V33" s="12"/>
    </row>
    <row r="34" spans="1:23" ht="15.6" x14ac:dyDescent="0.3">
      <c r="A34" s="14">
        <v>45674</v>
      </c>
      <c r="D34" s="23"/>
      <c r="E34" s="11"/>
      <c r="H34" s="23" t="s">
        <v>48</v>
      </c>
      <c r="I34" s="29">
        <f>SUMIF('CONFINAMENTO-MILHO'!D3:D222,"DRIPSOL MULTIPROPOSITO-18-18-18 25 K",'CONFINAMENTO-MILHO'!F3:F222)</f>
        <v>0</v>
      </c>
      <c r="J34" s="62">
        <f>COMPRAS!M34</f>
        <v>10.56</v>
      </c>
      <c r="K34" s="10">
        <f t="shared" si="0"/>
        <v>0</v>
      </c>
      <c r="M34" s="8"/>
      <c r="N34" s="8"/>
      <c r="O34" s="9"/>
      <c r="P34" s="10"/>
      <c r="V34" s="12"/>
    </row>
    <row r="35" spans="1:23" ht="15.6" x14ac:dyDescent="0.3">
      <c r="A35" s="14">
        <v>45675</v>
      </c>
      <c r="D35" s="23"/>
      <c r="E35" s="11"/>
      <c r="H35" s="25" t="s">
        <v>56</v>
      </c>
      <c r="I35" s="29">
        <f>SUMIF('CONFINAMENTO-MILHO'!D3:D236,"DRIPSOL PRODUÇÃO 12-06-40 25K",'CONFINAMENTO-MILHO'!F3:F236)</f>
        <v>0</v>
      </c>
      <c r="J35" s="62">
        <f>COMPRAS!M35</f>
        <v>11</v>
      </c>
      <c r="K35" s="10">
        <f t="shared" ref="K35:K61" si="5">I35*J35</f>
        <v>0</v>
      </c>
      <c r="M35" s="8"/>
      <c r="N35" s="19" t="s">
        <v>5</v>
      </c>
      <c r="O35" s="22">
        <f>SUM(O3:O34)</f>
        <v>695</v>
      </c>
      <c r="P35" s="18"/>
      <c r="Q35" s="18">
        <f>SUM(Q3:Q34)</f>
        <v>4103.2</v>
      </c>
      <c r="T35" s="21" t="s">
        <v>5</v>
      </c>
      <c r="U35" s="21">
        <f>SUM(U3:U31)</f>
        <v>24</v>
      </c>
      <c r="V35" s="18"/>
      <c r="W35" s="18">
        <f>SUM(W3:W31)</f>
        <v>240</v>
      </c>
    </row>
    <row r="36" spans="1:23" ht="15.6" x14ac:dyDescent="0.3">
      <c r="A36" s="14">
        <v>45676</v>
      </c>
      <c r="D36" s="23"/>
      <c r="E36" s="11"/>
      <c r="H36" s="23" t="s">
        <v>22</v>
      </c>
      <c r="I36" s="29">
        <f>SUMIF('CONFINAMENTO-MILHO'!D3:D223,"ELEITTO",'CONFINAMENTO-MILHO'!F3:F223)</f>
        <v>0</v>
      </c>
      <c r="J36" s="62">
        <f>COMPRAS!M36</f>
        <v>0.33</v>
      </c>
      <c r="K36" s="10">
        <f t="shared" si="5"/>
        <v>0</v>
      </c>
    </row>
    <row r="37" spans="1:23" ht="15.6" x14ac:dyDescent="0.3">
      <c r="A37" s="14">
        <v>45677</v>
      </c>
      <c r="B37" s="13">
        <v>131</v>
      </c>
      <c r="D37" s="23"/>
      <c r="E37" s="11"/>
      <c r="H37" s="25" t="s">
        <v>37</v>
      </c>
      <c r="I37" s="29">
        <f>SUMIF('CONFINAMENTO-MILHO'!D3:D231,"FERTIUM LIQUIDO 5L",'CONFINAMENTO-MILHO'!F3:F231)</f>
        <v>0</v>
      </c>
      <c r="J37" s="62">
        <f>COMPRAS!M37</f>
        <v>0.217</v>
      </c>
      <c r="K37" s="10">
        <f t="shared" si="5"/>
        <v>0</v>
      </c>
    </row>
    <row r="38" spans="1:23" ht="15.6" x14ac:dyDescent="0.3">
      <c r="A38" s="14">
        <v>45678</v>
      </c>
      <c r="B38" s="13">
        <v>156</v>
      </c>
      <c r="D38" s="23"/>
      <c r="E38" s="11"/>
      <c r="H38" s="25" t="s">
        <v>89</v>
      </c>
      <c r="I38" s="30">
        <f>SUMIF('CONFINAMENTO-MILHO'!D3:D243,"FITILHO VIRGEM NOVELO NR 08",'CONFINAMENTO-MILHO'!F3:F243)</f>
        <v>0</v>
      </c>
      <c r="J38" s="62">
        <f>COMPRAS!M38</f>
        <v>40</v>
      </c>
      <c r="K38" s="10">
        <f t="shared" si="5"/>
        <v>0</v>
      </c>
      <c r="M38" s="89" t="s">
        <v>61</v>
      </c>
      <c r="N38" s="89"/>
      <c r="O38" s="89"/>
      <c r="P38" s="89"/>
      <c r="Q38" s="89"/>
      <c r="S38" s="89" t="s">
        <v>61</v>
      </c>
      <c r="T38" s="89"/>
      <c r="U38" s="89"/>
      <c r="V38" s="89"/>
      <c r="W38" s="89"/>
    </row>
    <row r="39" spans="1:23" ht="15.6" x14ac:dyDescent="0.3">
      <c r="A39" s="14">
        <v>45679</v>
      </c>
      <c r="B39" s="13">
        <v>155</v>
      </c>
      <c r="D39" s="25"/>
      <c r="E39" s="11"/>
      <c r="H39" s="63" t="s">
        <v>99</v>
      </c>
      <c r="I39" s="30">
        <f>SUMIF('CONFINAMENTO-MILHO'!D3:D243,"FRETE CAIXAS",'CONFINAMENTO-MILHO'!F3:F243)</f>
        <v>0</v>
      </c>
      <c r="J39" s="62">
        <f>COMPRAS!M39</f>
        <v>2.3571428571428572</v>
      </c>
      <c r="K39" s="10">
        <f t="shared" si="5"/>
        <v>0</v>
      </c>
      <c r="M39" s="4" t="s">
        <v>59</v>
      </c>
      <c r="N39" s="12">
        <f>SUMIF('CONFINAMENTO-MILHO'!R1:R30,"R.FERNANDO",'CONFINAMENTO-MILHO'!Q1:Q30)</f>
        <v>0</v>
      </c>
      <c r="P39" s="12"/>
      <c r="Q39" s="12"/>
      <c r="S39" s="4" t="s">
        <v>59</v>
      </c>
      <c r="T39" s="12">
        <f>SUMIF('CONFINAMENTO-MILHO'!X1:X30,"R.FERNANDO",'CONFINAMENTO-MILHO'!W1:W30)</f>
        <v>0</v>
      </c>
      <c r="V39" s="12"/>
      <c r="W39" s="12"/>
    </row>
    <row r="40" spans="1:23" ht="15.6" x14ac:dyDescent="0.3">
      <c r="A40" s="14">
        <v>45680</v>
      </c>
      <c r="B40" s="13">
        <v>160</v>
      </c>
      <c r="D40" s="23"/>
      <c r="E40" s="11"/>
      <c r="H40" s="23" t="s">
        <v>67</v>
      </c>
      <c r="I40" s="29">
        <f>SUMIF('CONFINAMENTO-MILHO'!D3:D241,"FTE 50 KILOS ",'CONFINAMENTO-MILHO'!F3:F241)</f>
        <v>0</v>
      </c>
      <c r="J40" s="62">
        <f>COMPRAS!M40</f>
        <v>4.4000000000000004</v>
      </c>
      <c r="K40" s="10">
        <f t="shared" si="5"/>
        <v>0</v>
      </c>
      <c r="M40" s="4" t="s">
        <v>60</v>
      </c>
      <c r="N40" s="12">
        <f>SUMIF('CONFINAMENTO-MILHO'!R1:R30,"R.RAFAEL",'CONFINAMENTO-MILHO'!Q1:Q30)</f>
        <v>0</v>
      </c>
      <c r="P40" s="12"/>
      <c r="Q40" s="12"/>
      <c r="S40" s="4" t="s">
        <v>60</v>
      </c>
      <c r="T40" s="12">
        <f>SUMIF('CONFINAMENTO-MILHO'!X1:X30,"R.RAFAEL",'CONFINAMENTO-MILHO'!W1:W30)</f>
        <v>0</v>
      </c>
      <c r="V40" s="12"/>
      <c r="W40" s="12"/>
    </row>
    <row r="41" spans="1:23" ht="15.6" x14ac:dyDescent="0.3">
      <c r="A41" s="14">
        <v>45681</v>
      </c>
      <c r="B41" s="13">
        <v>160</v>
      </c>
      <c r="D41" s="25"/>
      <c r="E41" s="11"/>
      <c r="H41" s="23" t="s">
        <v>101</v>
      </c>
      <c r="I41" s="29">
        <f>SUMIF('CONFINAMENTO-MILHO'!D3:D222,"FULVUMIM 5 LITROS",'CONFINAMENTO-MILHO'!F3:F222)</f>
        <v>0</v>
      </c>
      <c r="J41" s="62">
        <f>COMPRAS!M41</f>
        <v>2.5857142857142856E-2</v>
      </c>
      <c r="K41" s="10">
        <f t="shared" si="5"/>
        <v>0</v>
      </c>
      <c r="M41" s="4" t="s">
        <v>58</v>
      </c>
      <c r="N41" s="12">
        <f>SUMIF('CONFINAMENTO-MILHO'!R1:R30,"R.JEAN",'CONFINAMENTO-MILHO'!Q1:Q30)</f>
        <v>0</v>
      </c>
      <c r="O41" s="12"/>
      <c r="P41" s="12"/>
      <c r="Q41" s="12"/>
      <c r="S41" s="4" t="s">
        <v>58</v>
      </c>
      <c r="T41" s="12">
        <f>SUMIF('CONFINAMENTO-MILHO'!X1:X30,"R.JEAN",'CONFINAMENTO-MILHO'!W1:W30)</f>
        <v>0</v>
      </c>
      <c r="U41" s="12"/>
      <c r="V41" s="12"/>
      <c r="W41" s="12"/>
    </row>
    <row r="42" spans="1:23" ht="15.6" x14ac:dyDescent="0.3">
      <c r="A42" s="14">
        <v>45682</v>
      </c>
      <c r="B42" s="13">
        <v>110</v>
      </c>
      <c r="D42" s="23"/>
      <c r="E42" s="11"/>
      <c r="H42" s="23" t="s">
        <v>45</v>
      </c>
      <c r="I42" s="29">
        <f>SUMIF('CONFINAMENTO-MILHO'!D3:D222,"FYLLOTON 12X1 1 LITRO",'CONFINAMENTO-MILHO'!F3:F222)</f>
        <v>0</v>
      </c>
      <c r="J42" s="62">
        <f>COMPRAS!M42</f>
        <v>6.7222222222222225E-2</v>
      </c>
      <c r="K42" s="10">
        <f t="shared" si="5"/>
        <v>0</v>
      </c>
    </row>
    <row r="43" spans="1:23" ht="15.6" x14ac:dyDescent="0.3">
      <c r="A43" s="14">
        <v>45683</v>
      </c>
      <c r="B43" s="13">
        <v>171</v>
      </c>
      <c r="D43" s="23"/>
      <c r="E43" s="11"/>
      <c r="H43" s="25" t="s">
        <v>50</v>
      </c>
      <c r="I43" s="29">
        <f>SUMIF('CONFINAMENTO-MILHO'!D3:D225,"GLIBOR CA 5L",'CONFINAMENTO-MILHO'!F3:F225)</f>
        <v>0</v>
      </c>
      <c r="J43" s="62">
        <f>COMPRAS!M43</f>
        <v>4.5999999999999999E-2</v>
      </c>
      <c r="K43" s="10">
        <f t="shared" si="5"/>
        <v>0</v>
      </c>
    </row>
    <row r="44" spans="1:23" ht="15.6" x14ac:dyDescent="0.3">
      <c r="A44" s="14">
        <v>45684</v>
      </c>
      <c r="B44" s="13">
        <v>160</v>
      </c>
      <c r="D44" s="25"/>
      <c r="E44" s="11"/>
      <c r="H44" s="39" t="s">
        <v>106</v>
      </c>
      <c r="I44" s="29">
        <f>SUMIF('CONFINAMENTO-MILHO'!D3:D237,"GLIMAN 30 4X5 KG",'CONFINAMENTO-MILHO'!F3:F237)</f>
        <v>0</v>
      </c>
      <c r="J44" s="62">
        <f>COMPRAS!M44</f>
        <v>0.04</v>
      </c>
      <c r="K44" s="10">
        <f t="shared" si="5"/>
        <v>0</v>
      </c>
    </row>
    <row r="45" spans="1:23" ht="15.6" x14ac:dyDescent="0.3">
      <c r="A45" s="14">
        <v>45685</v>
      </c>
      <c r="B45" s="13">
        <v>161</v>
      </c>
      <c r="D45" s="23"/>
      <c r="E45" s="11"/>
      <c r="H45" s="25" t="s">
        <v>103</v>
      </c>
      <c r="I45" s="30">
        <f>SUMIF('CONFINAMENTO-MILHO'!D3:D243,"INTREPID240 SC -1 L",'CONFINAMENTO-MILHO'!F3:F243)</f>
        <v>420</v>
      </c>
      <c r="J45" s="62">
        <f>COMPRAS!M45</f>
        <v>0.18</v>
      </c>
      <c r="K45" s="10">
        <f t="shared" si="5"/>
        <v>75.599999999999994</v>
      </c>
    </row>
    <row r="46" spans="1:23" ht="15.6" x14ac:dyDescent="0.3">
      <c r="A46" s="14">
        <v>45686</v>
      </c>
      <c r="B46" s="13">
        <v>160</v>
      </c>
      <c r="D46" s="23"/>
      <c r="E46" s="11"/>
      <c r="H46" s="23" t="s">
        <v>21</v>
      </c>
      <c r="I46" s="29">
        <f>SUMIF('CONFINAMENTO-MILHO'!D3:D223,"JOINER",'CONFINAMENTO-MILHO'!F3:F223)</f>
        <v>0</v>
      </c>
      <c r="J46" s="62">
        <f>COMPRAS!M46</f>
        <v>2.2839999999999998</v>
      </c>
      <c r="K46" s="10">
        <f t="shared" si="5"/>
        <v>0</v>
      </c>
      <c r="M46" s="91" t="s">
        <v>71</v>
      </c>
      <c r="N46" s="91"/>
      <c r="O46" s="91"/>
      <c r="P46" s="91"/>
      <c r="Q46" s="91"/>
    </row>
    <row r="47" spans="1:23" ht="15.6" x14ac:dyDescent="0.3">
      <c r="A47" s="14">
        <v>45687</v>
      </c>
      <c r="B47" s="13">
        <v>160</v>
      </c>
      <c r="D47" s="23"/>
      <c r="E47" s="11"/>
      <c r="H47" s="63" t="s">
        <v>64</v>
      </c>
      <c r="I47" s="30">
        <f>SUMIF('CONFINAMENTO-MILHO'!D3:D243,"K BOMBER 56 8X2 5 KILOS ",'CONFINAMENTO-MILHO'!F3:F243)</f>
        <v>0</v>
      </c>
      <c r="J47" s="62">
        <f>COMPRAS!M47</f>
        <v>2.4E-2</v>
      </c>
      <c r="K47" s="10">
        <f t="shared" si="5"/>
        <v>0</v>
      </c>
      <c r="M47" s="4" t="s">
        <v>59</v>
      </c>
      <c r="N47" s="12">
        <f>N39+T39</f>
        <v>0</v>
      </c>
      <c r="P47" s="12"/>
      <c r="Q47" s="12"/>
    </row>
    <row r="48" spans="1:23" ht="15.6" x14ac:dyDescent="0.3">
      <c r="A48" s="14">
        <v>45688</v>
      </c>
      <c r="B48" s="13">
        <v>186</v>
      </c>
      <c r="D48" s="23"/>
      <c r="E48" s="11"/>
      <c r="H48" s="25" t="s">
        <v>84</v>
      </c>
      <c r="I48" s="30">
        <f>SUMIF('CONFINAMENTO-MILHO'!D3:D243,"KIT COSTAL AZR PLUS - EPI",'CONFINAMENTO-MILHO'!F3:F243)</f>
        <v>0</v>
      </c>
      <c r="J48" s="62">
        <f>COMPRAS!M48</f>
        <v>110</v>
      </c>
      <c r="K48" s="10">
        <f t="shared" si="5"/>
        <v>0</v>
      </c>
      <c r="M48" s="4" t="s">
        <v>60</v>
      </c>
      <c r="N48" s="12">
        <f t="shared" ref="N48:N49" si="6">N40+T40</f>
        <v>0</v>
      </c>
      <c r="P48" s="12"/>
      <c r="Q48" s="12"/>
    </row>
    <row r="49" spans="1:17" ht="15.6" x14ac:dyDescent="0.3">
      <c r="A49" s="14">
        <v>45689</v>
      </c>
      <c r="B49" s="13">
        <v>206</v>
      </c>
      <c r="D49" s="25"/>
      <c r="E49" s="11"/>
      <c r="H49" s="39" t="s">
        <v>193</v>
      </c>
      <c r="I49" s="30">
        <f>SUMIF('CONFINAMENTO-MILHO'!D3:D243,"KLORPAN 480 CE -1 LITRO",'CONFINAMENTO-MILHO'!F3:F243)</f>
        <v>0</v>
      </c>
      <c r="J49" s="62">
        <f>COMPRAS!M49</f>
        <v>3.7619047619047621E-2</v>
      </c>
      <c r="K49" s="10">
        <f t="shared" si="5"/>
        <v>0</v>
      </c>
      <c r="M49" s="4" t="s">
        <v>58</v>
      </c>
      <c r="N49" s="12">
        <f t="shared" si="6"/>
        <v>0</v>
      </c>
      <c r="P49" s="12"/>
      <c r="Q49" s="12"/>
    </row>
    <row r="50" spans="1:17" ht="15.6" x14ac:dyDescent="0.3">
      <c r="A50" s="14">
        <v>45690</v>
      </c>
      <c r="B50" s="13">
        <v>183</v>
      </c>
      <c r="D50" s="23"/>
      <c r="E50" s="11"/>
      <c r="H50" s="23" t="s">
        <v>95</v>
      </c>
      <c r="I50" s="30">
        <f>SUMIF('CONFINAMENTO-MILHO'!D3:D242,"LANNATE",'CONFINAMENTO-MILHO'!F3:F242)</f>
        <v>800</v>
      </c>
      <c r="J50" s="62">
        <f>COMPRAS!M50</f>
        <v>0.05</v>
      </c>
      <c r="K50" s="10">
        <f t="shared" si="5"/>
        <v>40</v>
      </c>
    </row>
    <row r="51" spans="1:17" ht="15.6" x14ac:dyDescent="0.3">
      <c r="A51" s="14">
        <v>45691</v>
      </c>
      <c r="B51" s="13">
        <v>180</v>
      </c>
      <c r="D51" s="23"/>
      <c r="E51" s="11"/>
      <c r="H51" s="40" t="s">
        <v>118</v>
      </c>
      <c r="I51" s="30">
        <f>SUMIF('CONFINAMENTO-MILHO'!D3:D243,"MASTER 20-20-20 25 KG",'CONFINAMENTO-MILHO'!F3:F243)</f>
        <v>0</v>
      </c>
      <c r="J51" s="62">
        <f>COMPRAS!M51</f>
        <v>11.6</v>
      </c>
      <c r="K51" s="10">
        <f t="shared" si="5"/>
        <v>0</v>
      </c>
    </row>
    <row r="52" spans="1:17" ht="15.6" x14ac:dyDescent="0.3">
      <c r="A52" s="14">
        <v>45692</v>
      </c>
      <c r="B52" s="13">
        <v>240</v>
      </c>
      <c r="D52" s="23"/>
      <c r="E52" s="11"/>
      <c r="H52" s="63" t="s">
        <v>63</v>
      </c>
      <c r="I52" s="29">
        <f>SUMIF('CONFINAMENTO-MILHO'!D3:D246,"MAXIHUN 5 L",'CONFINAMENTO-MILHO'!F3:F246)</f>
        <v>0</v>
      </c>
      <c r="J52" s="62">
        <f>COMPRAS!M52</f>
        <v>2.3E-2</v>
      </c>
      <c r="K52" s="10">
        <f t="shared" si="5"/>
        <v>0</v>
      </c>
    </row>
    <row r="53" spans="1:17" ht="15.6" x14ac:dyDescent="0.3">
      <c r="A53" s="14">
        <v>45693</v>
      </c>
      <c r="B53" s="13">
        <v>180</v>
      </c>
      <c r="D53" s="25"/>
      <c r="E53" s="11"/>
      <c r="H53" s="25" t="s">
        <v>51</v>
      </c>
      <c r="I53" s="29">
        <f>SUMIF('CONFINAMENTO-MILHO'!D3:D226,"MICROCOMPLEX 1X25  25K",'CONFINAMENTO-MILHO'!F3:F226)</f>
        <v>0</v>
      </c>
      <c r="J53" s="62">
        <f>COMPRAS!M53</f>
        <v>28</v>
      </c>
      <c r="K53" s="10">
        <f t="shared" si="5"/>
        <v>0</v>
      </c>
    </row>
    <row r="54" spans="1:17" ht="15.6" x14ac:dyDescent="0.3">
      <c r="A54" s="14">
        <v>45694</v>
      </c>
      <c r="B54" s="13">
        <v>230</v>
      </c>
      <c r="D54" s="23"/>
      <c r="E54" s="11"/>
      <c r="H54" s="25" t="s">
        <v>66</v>
      </c>
      <c r="I54" s="30">
        <f>SUMIF('CONFINAMENTO-MILHO'!D3:D243,"MINECTO PRO 12X1LT",'CONFINAMENTO-MILHO'!F3:F243)</f>
        <v>0</v>
      </c>
      <c r="J54" s="62">
        <f>COMPRAS!M54</f>
        <v>0.23</v>
      </c>
      <c r="K54" s="10">
        <f t="shared" si="5"/>
        <v>0</v>
      </c>
    </row>
    <row r="55" spans="1:17" ht="15.6" x14ac:dyDescent="0.3">
      <c r="A55" s="14">
        <v>45695</v>
      </c>
      <c r="B55" s="13">
        <v>360</v>
      </c>
      <c r="D55" s="23"/>
      <c r="E55" s="11"/>
      <c r="H55" s="25" t="s">
        <v>52</v>
      </c>
      <c r="I55" s="29">
        <f>SUMIF('CONFINAMENTO-MILHO'!D3:D227,"MIRAVIS DUO 1 LITRO",'CONFINAMENTO-MILHO'!F3:F227)</f>
        <v>0</v>
      </c>
      <c r="J55" s="62">
        <f>COMPRAS!M55</f>
        <v>0.26</v>
      </c>
      <c r="K55" s="10">
        <f t="shared" si="5"/>
        <v>0</v>
      </c>
    </row>
    <row r="56" spans="1:17" ht="15.6" x14ac:dyDescent="0.3">
      <c r="A56" s="14">
        <v>45696</v>
      </c>
      <c r="B56" s="13">
        <v>187</v>
      </c>
      <c r="D56" s="25"/>
      <c r="E56" s="11"/>
      <c r="H56" s="25" t="s">
        <v>69</v>
      </c>
      <c r="I56" s="30">
        <f>SUMIF('CONFINAMENTO-MILHO'!D3:D243,"MULTICARE 1L",'CONFINAMENTO-MILHO'!F3:F243)</f>
        <v>0</v>
      </c>
      <c r="J56" s="62">
        <f>COMPRAS!M56</f>
        <v>5.1999999999999998E-2</v>
      </c>
      <c r="K56" s="10">
        <f t="shared" si="5"/>
        <v>0</v>
      </c>
    </row>
    <row r="57" spans="1:17" ht="15.6" x14ac:dyDescent="0.3">
      <c r="A57" s="14">
        <v>45697</v>
      </c>
      <c r="B57" s="13">
        <v>290</v>
      </c>
      <c r="D57" s="23"/>
      <c r="E57" s="11"/>
      <c r="H57" s="23" t="s">
        <v>53</v>
      </c>
      <c r="I57" s="29">
        <f>SUMIF('CONFINAMENTO-MILHO'!D3:D222,"N CALCIO CALCINIT YARA 15.5% 18CA 25K",'CONFINAMENTO-MILHO'!F3:F222)</f>
        <v>0</v>
      </c>
      <c r="J57" s="62">
        <f>COMPRAS!M57</f>
        <v>3.3718518518518517</v>
      </c>
      <c r="K57" s="10">
        <f t="shared" si="5"/>
        <v>0</v>
      </c>
    </row>
    <row r="58" spans="1:17" ht="15.6" x14ac:dyDescent="0.3">
      <c r="A58" s="14">
        <v>45698</v>
      </c>
      <c r="B58" s="13">
        <v>240</v>
      </c>
      <c r="D58" s="25"/>
      <c r="E58" s="11"/>
      <c r="H58" s="39" t="s">
        <v>55</v>
      </c>
      <c r="I58" s="30">
        <f>SUMIF('CONFINAMENTO-MILHO'!D3:D242,"NITRATO DE POTASSIO 12% N 45% K2O 2%S 25 K",'CONFINAMENTO-MILHO'!F3:F242)</f>
        <v>0</v>
      </c>
      <c r="J58" s="62">
        <f>COMPRAS!M58</f>
        <v>8</v>
      </c>
      <c r="K58" s="10">
        <f t="shared" si="5"/>
        <v>0</v>
      </c>
    </row>
    <row r="59" spans="1:17" ht="15.6" x14ac:dyDescent="0.3">
      <c r="A59" s="14">
        <v>45699</v>
      </c>
      <c r="B59" s="13">
        <v>240</v>
      </c>
      <c r="D59" s="23"/>
      <c r="E59" s="11"/>
      <c r="H59" s="25" t="s">
        <v>240</v>
      </c>
      <c r="I59" s="29">
        <f>SUMIF('CONFINAMENTO-MILHO'!D3:D235,"NITRATO POTASSIO YARA TERA K 13-00-43",'CONFINAMENTO-MILHO'!F3:F235)</f>
        <v>40</v>
      </c>
      <c r="J59" s="62">
        <f>COMPRAS!M59</f>
        <v>8.5309090909090912</v>
      </c>
      <c r="K59" s="10">
        <f t="shared" si="5"/>
        <v>341.23636363636365</v>
      </c>
    </row>
    <row r="60" spans="1:17" ht="15.6" x14ac:dyDescent="0.3">
      <c r="A60" s="14">
        <v>45700</v>
      </c>
      <c r="B60" s="13">
        <v>168</v>
      </c>
      <c r="D60" s="25"/>
      <c r="E60" s="11"/>
      <c r="H60" s="23" t="s">
        <v>108</v>
      </c>
      <c r="I60" s="29">
        <f>SUMIF('CONFINAMENTO-MILHO'!D3:D222,"NITROCAM 12X1 LT",'CONFINAMENTO-MILHO'!F3:F222)</f>
        <v>0</v>
      </c>
      <c r="J60" s="62">
        <f>COMPRAS!M60</f>
        <v>4.8000000000000001E-2</v>
      </c>
      <c r="K60" s="10">
        <f t="shared" si="5"/>
        <v>0</v>
      </c>
    </row>
    <row r="61" spans="1:17" ht="15.6" x14ac:dyDescent="0.3">
      <c r="A61" s="14">
        <v>45701</v>
      </c>
      <c r="B61" s="13">
        <v>240</v>
      </c>
      <c r="D61" s="23"/>
      <c r="E61" s="11"/>
      <c r="H61" s="39" t="s">
        <v>237</v>
      </c>
      <c r="I61" s="30">
        <f>SUMIF('CONFINAMENTO-MILHO'!D3:D222,"NPK ",'CONFINAMENTO-MILHO'!F3:F222)</f>
        <v>104</v>
      </c>
      <c r="J61" s="62">
        <f>COMPRAS!M61</f>
        <v>4.2</v>
      </c>
      <c r="K61" s="10">
        <f t="shared" si="5"/>
        <v>436.8</v>
      </c>
    </row>
    <row r="62" spans="1:17" ht="15.6" x14ac:dyDescent="0.3">
      <c r="A62" s="14">
        <v>45702</v>
      </c>
      <c r="B62" s="13">
        <v>211</v>
      </c>
      <c r="D62" s="23"/>
      <c r="E62" s="11"/>
      <c r="H62" s="25" t="s">
        <v>30</v>
      </c>
      <c r="I62" s="29">
        <f>SUMIF('CONFINAMENTO-MILHO'!D3:D222,"NUPRID",'CONFINAMENTO-MILHO'!F3:F222)</f>
        <v>0</v>
      </c>
      <c r="J62" s="62">
        <f>COMPRAS!M62</f>
        <v>0</v>
      </c>
      <c r="K62" s="10"/>
    </row>
    <row r="63" spans="1:17" ht="15.6" x14ac:dyDescent="0.3">
      <c r="A63" s="14">
        <v>45703</v>
      </c>
      <c r="B63" s="13">
        <v>300</v>
      </c>
      <c r="D63" s="23"/>
      <c r="E63" s="11"/>
      <c r="H63" s="25" t="s">
        <v>31</v>
      </c>
      <c r="I63" s="29">
        <f>SUMIF('CONFINAMENTO-MILHO'!D3:D224,"NUTRIGEMMA B ZN 5 LITROS",'CONFINAMENTO-MILHO'!F3:F224)</f>
        <v>0</v>
      </c>
      <c r="J63" s="62">
        <f>COMPRAS!M63</f>
        <v>6.8000000000000005E-2</v>
      </c>
      <c r="K63" s="10">
        <f>I63*J63</f>
        <v>0</v>
      </c>
    </row>
    <row r="64" spans="1:17" ht="15.6" x14ac:dyDescent="0.3">
      <c r="A64" s="14">
        <v>45704</v>
      </c>
      <c r="B64" s="13">
        <v>250</v>
      </c>
      <c r="D64" s="25"/>
      <c r="E64" s="11"/>
      <c r="H64" s="39" t="s">
        <v>114</v>
      </c>
      <c r="I64" s="30">
        <f>SUMIF('CONFINAMENTO-MILHO'!D3:D224,"NUTRISYSTEM INICIAL 42 06.30.06 25 K",'CONFINAMENTO-MILHO'!F3:F224)</f>
        <v>0</v>
      </c>
      <c r="J64" s="62">
        <f>COMPRAS!M64</f>
        <v>4.5999999999999996</v>
      </c>
      <c r="K64" s="10"/>
    </row>
    <row r="65" spans="1:11" ht="15.6" x14ac:dyDescent="0.3">
      <c r="A65" s="14">
        <v>45705</v>
      </c>
      <c r="B65" s="13">
        <v>260</v>
      </c>
      <c r="D65" s="23"/>
      <c r="E65" s="11"/>
      <c r="H65" s="39" t="s">
        <v>225</v>
      </c>
      <c r="I65" s="30">
        <f>SUMIF('CONFINAMENTO-MILHO'!D3:D224,"PADRON - 1 LITRO",'CONFINAMENTO-MILHO'!F3:F224)</f>
        <v>0</v>
      </c>
      <c r="J65" s="62">
        <f>COMPRAS!M65</f>
        <v>0.09</v>
      </c>
      <c r="K65" s="10">
        <f t="shared" ref="K65:K89" si="7">I65*J65</f>
        <v>0</v>
      </c>
    </row>
    <row r="66" spans="1:11" x14ac:dyDescent="0.3">
      <c r="A66" s="14">
        <v>45706</v>
      </c>
      <c r="B66" s="13">
        <v>360</v>
      </c>
      <c r="D66" s="11"/>
      <c r="E66" s="11"/>
      <c r="H66" s="61" t="s">
        <v>227</v>
      </c>
      <c r="I66" s="30">
        <f>SUMIF('CONFINAMENTO-MILHO'!D3:D243,"PAGAMENTO FEITA DE MUDAS 2º PLANTIO",'CONFINAMENTO-MILHO'!F3:F243)</f>
        <v>0</v>
      </c>
      <c r="J66" s="62">
        <f>COMPRAS!M66</f>
        <v>0.2</v>
      </c>
      <c r="K66" s="10">
        <f t="shared" si="7"/>
        <v>0</v>
      </c>
    </row>
    <row r="67" spans="1:11" ht="15.6" x14ac:dyDescent="0.3">
      <c r="A67" s="14">
        <v>45707</v>
      </c>
      <c r="B67" s="13">
        <v>270</v>
      </c>
      <c r="D67" s="25"/>
      <c r="E67" s="11"/>
      <c r="H67" s="23" t="s">
        <v>42</v>
      </c>
      <c r="I67" s="29">
        <f>SUMIF('CONFINAMENTO-MILHO'!D3:D222,"PHOSIFK CU4 1 LITRO",'CONFINAMENTO-MILHO'!F3:F222)</f>
        <v>0</v>
      </c>
      <c r="J67" s="62">
        <f>COMPRAS!M67</f>
        <v>9.8000000000000004E-2</v>
      </c>
      <c r="K67" s="10">
        <f t="shared" si="7"/>
        <v>0</v>
      </c>
    </row>
    <row r="68" spans="1:11" ht="15.6" x14ac:dyDescent="0.3">
      <c r="A68" s="14">
        <v>45708</v>
      </c>
      <c r="B68" s="13">
        <v>240</v>
      </c>
      <c r="D68" s="25"/>
      <c r="E68" s="11"/>
      <c r="H68" s="25" t="s">
        <v>38</v>
      </c>
      <c r="I68" s="29">
        <f>SUMIF('CONFINAMENTO-MILHO'!D3:D232,"PIRATE 1 LITRO",'CONFINAMENTO-MILHO'!F3:F232)</f>
        <v>160</v>
      </c>
      <c r="J68" s="62">
        <f>COMPRAS!M68</f>
        <v>0.12166666666666667</v>
      </c>
      <c r="K68" s="10">
        <f t="shared" si="7"/>
        <v>19.466666666666669</v>
      </c>
    </row>
    <row r="69" spans="1:11" ht="15.6" x14ac:dyDescent="0.3">
      <c r="A69" s="14">
        <v>45709</v>
      </c>
      <c r="B69" s="13">
        <v>250</v>
      </c>
      <c r="D69" s="11"/>
      <c r="E69" s="11"/>
      <c r="H69" s="25" t="s">
        <v>90</v>
      </c>
      <c r="I69" s="29">
        <f>SUMIF('CONFINAMENTO-MILHO'!D3:D234,"PLATINUM NEO - GL 5 LITROS",'CONFINAMENTO-MILHO'!F3:F234)</f>
        <v>60</v>
      </c>
      <c r="J69" s="62">
        <f>COMPRAS!M69</f>
        <v>0.17333333333333334</v>
      </c>
      <c r="K69" s="10">
        <f t="shared" si="7"/>
        <v>10.4</v>
      </c>
    </row>
    <row r="70" spans="1:11" ht="15.6" x14ac:dyDescent="0.3">
      <c r="A70" s="14">
        <v>45710</v>
      </c>
      <c r="B70" s="13">
        <v>218</v>
      </c>
      <c r="D70" s="23"/>
      <c r="E70" s="11"/>
      <c r="H70" s="23" t="s">
        <v>49</v>
      </c>
      <c r="I70" s="29">
        <f>SUMIF('CONFINAMENTO-MILHO'!D3:D222,"POQUER 4X5 LITROS",'CONFINAMENTO-MILHO'!F3:F222)</f>
        <v>0</v>
      </c>
      <c r="J70" s="62">
        <f>COMPRAS!M70</f>
        <v>3.2599999999999997E-2</v>
      </c>
      <c r="K70" s="10">
        <f t="shared" si="7"/>
        <v>0</v>
      </c>
    </row>
    <row r="71" spans="1:11" ht="15.6" x14ac:dyDescent="0.3">
      <c r="A71" s="14">
        <v>45711</v>
      </c>
      <c r="B71" s="13">
        <v>300</v>
      </c>
      <c r="D71" s="25"/>
      <c r="E71" s="11"/>
      <c r="H71" s="39" t="s">
        <v>113</v>
      </c>
      <c r="I71" s="30">
        <f>SUMIF('CONFINAMENTO-MILHO'!D3:D222,"PRIMOLEO 1X20LT",'CONFINAMENTO-MILHO'!F3:F222)</f>
        <v>0</v>
      </c>
      <c r="J71" s="62">
        <f>COMPRAS!M71</f>
        <v>2.3E-2</v>
      </c>
      <c r="K71" s="10">
        <f t="shared" si="7"/>
        <v>0</v>
      </c>
    </row>
    <row r="72" spans="1:11" ht="15.6" x14ac:dyDescent="0.3">
      <c r="A72" s="14">
        <v>45712</v>
      </c>
      <c r="B72" s="13">
        <v>360</v>
      </c>
      <c r="D72" s="25"/>
      <c r="E72" s="11"/>
      <c r="H72" s="25" t="s">
        <v>36</v>
      </c>
      <c r="I72" s="29">
        <f>SUMIF('CONFINAMENTO-MILHO'!D3:D228,"PRIVILEGE 1L",'CONFINAMENTO-MILHO'!F3:F228)</f>
        <v>0</v>
      </c>
      <c r="J72" s="62">
        <f>COMPRAS!M72</f>
        <v>0.16</v>
      </c>
      <c r="K72" s="10">
        <f t="shared" si="7"/>
        <v>0</v>
      </c>
    </row>
    <row r="73" spans="1:11" ht="15.6" x14ac:dyDescent="0.3">
      <c r="A73" s="14">
        <v>45713</v>
      </c>
      <c r="B73" s="13">
        <v>360</v>
      </c>
      <c r="D73" s="25"/>
      <c r="E73" s="11"/>
      <c r="H73" s="39" t="s">
        <v>206</v>
      </c>
      <c r="I73" s="30">
        <f>SUMIF('CONFINAMENTO-MILHO'!D3:D228,"PROGIBB 400 - PCT 2,5 GR",'CONFINAMENTO-MILHO'!F3:F228)</f>
        <v>0</v>
      </c>
      <c r="J73" s="62">
        <f>COMPRAS!M73</f>
        <v>6</v>
      </c>
      <c r="K73" s="10">
        <f t="shared" si="7"/>
        <v>0</v>
      </c>
    </row>
    <row r="74" spans="1:11" ht="15.6" x14ac:dyDescent="0.3">
      <c r="A74" s="14">
        <v>45714</v>
      </c>
      <c r="B74" s="13">
        <v>345</v>
      </c>
      <c r="D74" s="23"/>
      <c r="E74" s="11"/>
      <c r="H74" s="23" t="s">
        <v>46</v>
      </c>
      <c r="I74" s="29">
        <f>SUMIF('CONFINAMENTO-MILHO'!D3:D222,"PROTAMIN 25K",'CONFINAMENTO-MILHO'!F3:F222)</f>
        <v>0</v>
      </c>
      <c r="J74" s="62">
        <f>COMPRAS!M74</f>
        <v>4.9000000000000004</v>
      </c>
      <c r="K74" s="10">
        <f t="shared" si="7"/>
        <v>0</v>
      </c>
    </row>
    <row r="75" spans="1:11" ht="15.6" x14ac:dyDescent="0.3">
      <c r="A75" s="14">
        <v>45715</v>
      </c>
      <c r="B75" s="13">
        <v>420</v>
      </c>
      <c r="D75" s="25"/>
      <c r="E75" s="11"/>
      <c r="H75" s="8" t="s">
        <v>198</v>
      </c>
      <c r="I75" s="30">
        <f>SUMIF('CONFINAMENTO-MILHO'!D3:D222,"QUIMIFOL CALCIO E BORO II- BD 20 L",'CONFINAMENTO-MILHO'!F3:F222)</f>
        <v>0</v>
      </c>
      <c r="J75" s="62">
        <f>COMPRAS!M75</f>
        <v>2.35E-2</v>
      </c>
      <c r="K75" s="10">
        <f t="shared" si="7"/>
        <v>0</v>
      </c>
    </row>
    <row r="76" spans="1:11" x14ac:dyDescent="0.3">
      <c r="A76" s="14">
        <v>45716</v>
      </c>
      <c r="D76" s="8"/>
      <c r="E76" s="11"/>
      <c r="H76" s="63" t="s">
        <v>187</v>
      </c>
      <c r="I76" s="29">
        <f>SUMIF('CONFINAMENTO-MILHO'!D3:D245,"IMPACTO 1L",'CONFINAMENTO-MILHO'!F3:F245)</f>
        <v>0</v>
      </c>
      <c r="J76" s="62">
        <f>COMPRAS!M76</f>
        <v>0.22</v>
      </c>
      <c r="K76" s="10">
        <f t="shared" si="7"/>
        <v>0</v>
      </c>
    </row>
    <row r="77" spans="1:11" ht="15.6" x14ac:dyDescent="0.3">
      <c r="A77" s="14">
        <v>45717</v>
      </c>
      <c r="B77" s="13">
        <v>246</v>
      </c>
      <c r="D77" s="25"/>
      <c r="E77" s="11"/>
      <c r="H77" s="39" t="s">
        <v>182</v>
      </c>
      <c r="I77" s="30">
        <f>SUMIF('CONFINAMENTO-MILHO'!D3:D228,"QUIMIFOL P30W- GL 5 LITROS",'CONFINAMENTO-MILHO'!F3:F228)</f>
        <v>0</v>
      </c>
      <c r="J77" s="62">
        <f>COMPRAS!M77</f>
        <v>3.5999999999999997E-2</v>
      </c>
      <c r="K77" s="10">
        <f t="shared" si="7"/>
        <v>0</v>
      </c>
    </row>
    <row r="78" spans="1:11" ht="15.6" x14ac:dyDescent="0.3">
      <c r="A78" s="14">
        <v>45718</v>
      </c>
      <c r="B78" s="13">
        <v>227</v>
      </c>
      <c r="D78" s="8"/>
      <c r="E78" s="11"/>
      <c r="H78" s="25" t="s">
        <v>83</v>
      </c>
      <c r="I78" s="30">
        <f>SUMIF('CONFINAMENTO-MILHO'!D3:D243,"QUIMIFOL PERSIST- 1 LITRO",'CONFINAMENTO-MILHO'!F3:F243)</f>
        <v>0</v>
      </c>
      <c r="J78" s="62">
        <f>COMPRAS!M78</f>
        <v>3.6666666666666667E-2</v>
      </c>
      <c r="K78" s="10">
        <f t="shared" si="7"/>
        <v>0</v>
      </c>
    </row>
    <row r="79" spans="1:11" ht="15.6" x14ac:dyDescent="0.3">
      <c r="A79" s="14">
        <v>45719</v>
      </c>
      <c r="B79" s="13">
        <v>360</v>
      </c>
      <c r="D79" s="25"/>
      <c r="E79" s="11"/>
      <c r="H79" s="39" t="s">
        <v>183</v>
      </c>
      <c r="I79" s="30">
        <f>SUMIF('CONFINAMENTO-MILHO'!D3:D228,"QUIMIFOL PHFOS - 1 LITRO",'CONFINAMENTO-MILHO'!F3:F228)</f>
        <v>0</v>
      </c>
      <c r="J79" s="62">
        <f>COMPRAS!M79</f>
        <v>0.06</v>
      </c>
      <c r="K79" s="10">
        <f t="shared" si="7"/>
        <v>0</v>
      </c>
    </row>
    <row r="80" spans="1:11" ht="15.6" x14ac:dyDescent="0.3">
      <c r="A80" s="14">
        <v>45720</v>
      </c>
      <c r="B80" s="13">
        <v>588</v>
      </c>
      <c r="H80" s="39" t="s">
        <v>191</v>
      </c>
      <c r="I80" s="30">
        <f>SUMIF('CONFINAMENTO-MILHO'!D3:D228,"QUIMIFOL S450 - GL 5 LITROS",'CONFINAMENTO-MILHO'!F3:F228)</f>
        <v>360</v>
      </c>
      <c r="J80" s="62">
        <f>COMPRAS!M80</f>
        <v>4.2000000000000003E-2</v>
      </c>
      <c r="K80" s="10">
        <f t="shared" si="7"/>
        <v>15.120000000000001</v>
      </c>
    </row>
    <row r="81" spans="1:11" ht="15.6" x14ac:dyDescent="0.3">
      <c r="A81" s="14">
        <v>45721</v>
      </c>
      <c r="B81" s="13">
        <v>120</v>
      </c>
      <c r="H81" s="25" t="s">
        <v>82</v>
      </c>
      <c r="I81" s="30">
        <f>SUMIF('CONFINAMENTO-MILHO'!D3:D243,"QUIMIORGEN 20 N - GL DE 5 LITROS",'CONFINAMENTO-MILHO'!F3:F243)</f>
        <v>0</v>
      </c>
      <c r="J81" s="62">
        <f>COMPRAS!M81</f>
        <v>2.1999999999999999E-2</v>
      </c>
      <c r="K81" s="10">
        <f t="shared" si="7"/>
        <v>0</v>
      </c>
    </row>
    <row r="82" spans="1:11" ht="15.6" x14ac:dyDescent="0.3">
      <c r="A82" s="14">
        <v>45722</v>
      </c>
      <c r="H82" s="39" t="s">
        <v>190</v>
      </c>
      <c r="I82" s="30">
        <f>SUMIF('CONFINAMENTO-MILHO'!D3:D228,"RAPEL PCT- 3 KG",'CONFINAMENTO-MILHO'!F3:F228)</f>
        <v>480</v>
      </c>
      <c r="J82" s="62">
        <f>COMPRAS!M82</f>
        <v>5.6666666666666664E-2</v>
      </c>
      <c r="K82" s="10">
        <f t="shared" si="7"/>
        <v>27.2</v>
      </c>
    </row>
    <row r="83" spans="1:11" ht="15.6" x14ac:dyDescent="0.3">
      <c r="A83" s="14">
        <v>45723</v>
      </c>
      <c r="H83" s="23" t="s">
        <v>26</v>
      </c>
      <c r="I83" s="29">
        <f>SUMIF('CONFINAMENTO-MILHO'!D3:D222,"RESTORER 5 LITROS",'CONFINAMENTO-MILHO'!F3:F222)</f>
        <v>0</v>
      </c>
      <c r="J83" s="62">
        <f>COMPRAS!M83</f>
        <v>3.3111111111111112E-2</v>
      </c>
      <c r="K83" s="10">
        <f t="shared" si="7"/>
        <v>0</v>
      </c>
    </row>
    <row r="84" spans="1:11" ht="15.6" x14ac:dyDescent="0.3">
      <c r="H84" s="23" t="s">
        <v>43</v>
      </c>
      <c r="I84" s="29">
        <f>SUMIF('CONFINAMENTO-MILHO'!D3:D222,"RIDOMIL GOLD BRAVO 1 LITRO",'CONFINAMENTO-MILHO'!F3:F222)</f>
        <v>0</v>
      </c>
      <c r="J84" s="62">
        <f>COMPRAS!M84</f>
        <v>0.12</v>
      </c>
      <c r="K84" s="10">
        <f t="shared" si="7"/>
        <v>0</v>
      </c>
    </row>
    <row r="85" spans="1:11" ht="15.6" x14ac:dyDescent="0.3">
      <c r="H85" s="25" t="s">
        <v>57</v>
      </c>
      <c r="I85" s="29">
        <f>SUMIF('CONFINAMENTO-MILHO'!D3:D239,"RIDOMIL GOLD MZ 680 WG 12X1 1 KG",'CONFINAMENTO-MILHO'!F3:F239)</f>
        <v>0</v>
      </c>
      <c r="J85" s="62">
        <f>COMPRAS!M85</f>
        <v>0.156</v>
      </c>
      <c r="K85" s="10">
        <f t="shared" si="7"/>
        <v>0</v>
      </c>
    </row>
    <row r="86" spans="1:11" ht="15.6" x14ac:dyDescent="0.3">
      <c r="H86" s="25" t="s">
        <v>65</v>
      </c>
      <c r="I86" s="30">
        <f>SUMIF('CONFINAMENTO-MILHO'!D3:D243,"RIZAMMINA 42 OS 8X2 5 KILOS",'CONFINAMENTO-MILHO'!F3:F243)</f>
        <v>0</v>
      </c>
      <c r="J86" s="62">
        <f>COMPRAS!M86</f>
        <v>3.4000000000000002E-2</v>
      </c>
      <c r="K86" s="10">
        <f t="shared" si="7"/>
        <v>0</v>
      </c>
    </row>
    <row r="87" spans="1:11" ht="15.6" x14ac:dyDescent="0.3">
      <c r="H87" s="39" t="s">
        <v>102</v>
      </c>
      <c r="I87" s="30">
        <f>SUMIF('CONFINAMENTO-MILHO'!D3:D243,"ROUNDUP ORIGINAL MAIS - GL DE 5 L",'CONFINAMENTO-MILHO'!F3:F243)</f>
        <v>2300</v>
      </c>
      <c r="J87" s="62">
        <f>COMPRAS!M87</f>
        <v>3.875E-2</v>
      </c>
      <c r="K87" s="10">
        <f t="shared" si="7"/>
        <v>89.125</v>
      </c>
    </row>
    <row r="88" spans="1:11" ht="15.6" x14ac:dyDescent="0.3">
      <c r="H88" s="39" t="s">
        <v>196</v>
      </c>
      <c r="I88" s="30">
        <f>SUMIF('CONFINAMENTO-MILHO'!D3:D228,"SCORE 250 EC - 1 LITRO",'CONFINAMENTO-MILHO'!F3:F228)</f>
        <v>0</v>
      </c>
      <c r="J88" s="62">
        <f>COMPRAS!M88</f>
        <v>9.5000000000000001E-2</v>
      </c>
      <c r="K88" s="10">
        <f t="shared" si="7"/>
        <v>0</v>
      </c>
    </row>
    <row r="89" spans="1:11" ht="15.6" x14ac:dyDescent="0.3">
      <c r="H89" s="23" t="s">
        <v>234</v>
      </c>
      <c r="I89" s="30">
        <f>SUMIF('CONFINAMENTO-MILHO'!D3:D242,"SEMENTE DE MILHO BIOMATRIX 3066",'CONFINAMENTO-MILHO'!F3:F242)</f>
        <v>8</v>
      </c>
      <c r="J89" s="62">
        <f>COMPRAS!M89</f>
        <v>67.5</v>
      </c>
      <c r="K89" s="10">
        <f t="shared" si="7"/>
        <v>540</v>
      </c>
    </row>
    <row r="90" spans="1:11" ht="15.6" x14ac:dyDescent="0.3">
      <c r="H90" s="25" t="s">
        <v>97</v>
      </c>
      <c r="I90" s="29">
        <f>SUMIF('CONFINAMENTO-MILHO'!D3:D240,"SEMENTE MELANCIA ",'CONFINAMENTO-MILHO'!F3:F240)</f>
        <v>0</v>
      </c>
      <c r="J90" s="62">
        <f>COMPRAS!M90</f>
        <v>0</v>
      </c>
      <c r="K90" s="10"/>
    </row>
    <row r="91" spans="1:11" ht="15.6" x14ac:dyDescent="0.3">
      <c r="H91" s="39" t="s">
        <v>186</v>
      </c>
      <c r="I91" s="30">
        <f>SUMIF('CONFINAMENTO-MILHO'!D3:D228,"SEMENTE MELANCIA CRIMSON SELE",'CONFINAMENTO-MILHO'!F3:F228)</f>
        <v>0</v>
      </c>
      <c r="J91" s="62">
        <f>COMPRAS!M91</f>
        <v>0.28999999999999998</v>
      </c>
      <c r="K91" s="10">
        <f t="shared" ref="K91:K107" si="8">I91*J91</f>
        <v>0</v>
      </c>
    </row>
    <row r="92" spans="1:11" ht="15.6" x14ac:dyDescent="0.3">
      <c r="H92" s="39" t="s">
        <v>119</v>
      </c>
      <c r="I92" s="30">
        <f>SUMIF('CONFINAMENTO-MILHO'!D3:D228,"SEMENTE MELANCIA H MANCHESTER",'CONFINAMENTO-MILHO'!F3:F228)</f>
        <v>0</v>
      </c>
      <c r="J92" s="62">
        <f>COMPRAS!M92</f>
        <v>0.43</v>
      </c>
      <c r="K92" s="10">
        <f t="shared" si="8"/>
        <v>0</v>
      </c>
    </row>
    <row r="93" spans="1:11" ht="15.6" x14ac:dyDescent="0.3">
      <c r="H93" s="39" t="s">
        <v>105</v>
      </c>
      <c r="I93" s="30">
        <f>SUMIF('CONFINAMENTO-MILHO'!D3:D228,"SEMENTE MILHO HIB FEROZ SYN8A98 TL TG FORT VIP TURBO",'CONFINAMENTO-MILHO'!F3:F228)</f>
        <v>0</v>
      </c>
      <c r="J93" s="62">
        <f>COMPRAS!M93</f>
        <v>0.55000000000000004</v>
      </c>
      <c r="K93" s="10">
        <f t="shared" si="8"/>
        <v>0</v>
      </c>
    </row>
    <row r="94" spans="1:11" ht="15.6" x14ac:dyDescent="0.3">
      <c r="H94" s="39" t="s">
        <v>104</v>
      </c>
      <c r="I94" s="30">
        <f>SUMIF('CONFINAMENTO-MILHO'!D3:D228,"SEMENTE MILHO HIB FEROZ SYN8A98 TL TG VIP FORTENZA",'CONFINAMENTO-MILHO'!F3:F228)</f>
        <v>0</v>
      </c>
      <c r="J94" s="62">
        <f>COMPRAS!M94</f>
        <v>0.5</v>
      </c>
      <c r="K94" s="10">
        <f t="shared" si="8"/>
        <v>0</v>
      </c>
    </row>
    <row r="95" spans="1:11" ht="15.6" x14ac:dyDescent="0.3">
      <c r="H95" s="23" t="s">
        <v>96</v>
      </c>
      <c r="I95" s="29">
        <f>SUMIF('CONFINAMENTO-MILHO'!D3:D223,"SEMENTE TOMATE ",'CONFINAMENTO-MILHO'!F3:F223)</f>
        <v>0</v>
      </c>
      <c r="J95" s="62">
        <f>COMPRAS!M95</f>
        <v>0.54</v>
      </c>
      <c r="K95" s="10">
        <f t="shared" si="8"/>
        <v>0</v>
      </c>
    </row>
    <row r="96" spans="1:11" ht="15.6" x14ac:dyDescent="0.3">
      <c r="H96" s="39" t="s">
        <v>146</v>
      </c>
      <c r="I96" s="30">
        <f>SUMIF('CONFINAMENTO-MILHO'!D3:D228,"SEMENTE TOMATE COLT 1000 SEMENTES",'CONFINAMENTO-MILHO'!F3:F228)</f>
        <v>0</v>
      </c>
      <c r="J96" s="62">
        <f>COMPRAS!M96</f>
        <v>0.56999999999999995</v>
      </c>
      <c r="K96" s="10">
        <f t="shared" si="8"/>
        <v>0</v>
      </c>
    </row>
    <row r="97" spans="1:11" ht="15.6" x14ac:dyDescent="0.3">
      <c r="H97" s="39" t="s">
        <v>223</v>
      </c>
      <c r="I97" s="30">
        <f>SUMIF('CONFINAMENTO-MILHO'!D3:D228,"SENCOR 480 SC- 1 LITRO",'CONFINAMENTO-MILHO'!F3:F228)</f>
        <v>0</v>
      </c>
      <c r="J97" s="62">
        <f>COMPRAS!M97</f>
        <v>0.14000000000000001</v>
      </c>
      <c r="K97" s="10">
        <f t="shared" si="8"/>
        <v>0</v>
      </c>
    </row>
    <row r="98" spans="1:11" ht="15.6" x14ac:dyDescent="0.3">
      <c r="H98" s="23" t="s">
        <v>107</v>
      </c>
      <c r="I98" s="29">
        <f>SUMIF('CONFINAMENTO-MILHO'!D3:D222,"SPRAY DUNGER 20X1KG",'CONFINAMENTO-MILHO'!F3:F222)</f>
        <v>0</v>
      </c>
      <c r="J98" s="62">
        <f>COMPRAS!M98</f>
        <v>0.08</v>
      </c>
      <c r="K98" s="10">
        <f t="shared" si="8"/>
        <v>0</v>
      </c>
    </row>
    <row r="99" spans="1:11" ht="15.6" x14ac:dyDescent="0.3">
      <c r="H99" s="39" t="s">
        <v>111</v>
      </c>
      <c r="I99" s="30">
        <f>SUMIF('CONFINAMENTO-MILHO'!D3:D222,"SPRINT ALGA TS 12X1LT",'CONFINAMENTO-MILHO'!F3:F222)</f>
        <v>0</v>
      </c>
      <c r="J99" s="62">
        <f>COMPRAS!M99</f>
        <v>0.2</v>
      </c>
      <c r="K99" s="10">
        <f t="shared" si="8"/>
        <v>0</v>
      </c>
    </row>
    <row r="100" spans="1:11" ht="15.6" x14ac:dyDescent="0.3">
      <c r="H100" s="39" t="s">
        <v>236</v>
      </c>
      <c r="I100" s="30">
        <f>SUMIF('CONFINAMENTO-MILHO'!D3:D222,"SUFATO DE AMONIO",'CONFINAMENTO-MILHO'!F3:F222)</f>
        <v>40</v>
      </c>
      <c r="J100" s="62">
        <f>COMPRAS!M100</f>
        <v>2.4</v>
      </c>
      <c r="K100" s="10">
        <f t="shared" si="8"/>
        <v>96</v>
      </c>
    </row>
    <row r="101" spans="1:11" ht="15.6" x14ac:dyDescent="0.3">
      <c r="A101" s="21" t="s">
        <v>5</v>
      </c>
      <c r="B101" s="22">
        <f>SUM(B3:B100)</f>
        <v>13199</v>
      </c>
      <c r="H101" s="23" t="s">
        <v>54</v>
      </c>
      <c r="I101" s="29">
        <f>SUMIF('CONFINAMENTO-MILHO'!D3:D222,"SULFATO DE MAGNESIO-KRISTA MGS 25K",'CONFINAMENTO-MILHO'!F3:F222)</f>
        <v>0</v>
      </c>
      <c r="J101" s="62">
        <f>COMPRAS!M101</f>
        <v>3.1933333333333334</v>
      </c>
      <c r="K101" s="10">
        <f t="shared" si="8"/>
        <v>0</v>
      </c>
    </row>
    <row r="102" spans="1:11" ht="15.6" x14ac:dyDescent="0.3">
      <c r="A102" s="88" t="s">
        <v>7</v>
      </c>
      <c r="B102" s="88"/>
      <c r="H102" s="39" t="s">
        <v>112</v>
      </c>
      <c r="I102" s="30">
        <f>SUMIF('CONFINAMENTO-MILHO'!D3:D222,"TIMOREX GOLD 12X1 LT",'CONFINAMENTO-MILHO'!F3:F222)</f>
        <v>0</v>
      </c>
      <c r="J102" s="62">
        <f>COMPRAS!M102</f>
        <v>0.14499999999999999</v>
      </c>
      <c r="K102" s="10">
        <f t="shared" si="8"/>
        <v>0</v>
      </c>
    </row>
    <row r="103" spans="1:11" ht="15.6" x14ac:dyDescent="0.3">
      <c r="A103" s="4" t="s">
        <v>9</v>
      </c>
      <c r="B103" s="4">
        <f>B101</f>
        <v>13199</v>
      </c>
      <c r="H103" s="23" t="s">
        <v>25</v>
      </c>
      <c r="I103" s="29">
        <f>SUMIF('CONFINAMENTO-MILHO'!D3:D223,"TOPMIX 03-28-00 YARA 50K",'CONFINAMENTO-MILHO'!F3:F223)</f>
        <v>0</v>
      </c>
      <c r="J103" s="62">
        <f>COMPRAS!M103</f>
        <v>6.8</v>
      </c>
      <c r="K103" s="10">
        <f t="shared" si="8"/>
        <v>0</v>
      </c>
    </row>
    <row r="104" spans="1:11" ht="15.6" x14ac:dyDescent="0.3">
      <c r="A104" s="4" t="s">
        <v>10</v>
      </c>
      <c r="B104" s="4">
        <f>B103/60</f>
        <v>219.98333333333332</v>
      </c>
      <c r="H104" s="25" t="s">
        <v>81</v>
      </c>
      <c r="I104" s="30">
        <f>SUMIF('CONFINAMENTO-MILHO'!D3:D243,"TORDONULTRA-S - BD 20 LITROS",'CONFINAMENTO-MILHO'!F3:F243)</f>
        <v>0</v>
      </c>
      <c r="J104" s="62">
        <f>COMPRAS!M104</f>
        <v>5.5E-2</v>
      </c>
      <c r="K104" s="10">
        <f t="shared" si="8"/>
        <v>0</v>
      </c>
    </row>
    <row r="105" spans="1:11" ht="15.6" x14ac:dyDescent="0.3">
      <c r="A105" s="4" t="s">
        <v>11</v>
      </c>
      <c r="B105" s="4">
        <f>B104*8</f>
        <v>1759.8666666666666</v>
      </c>
      <c r="H105" s="25" t="s">
        <v>86</v>
      </c>
      <c r="I105" s="30">
        <f>SUMIF('CONFINAMENTO-MILHO'!D3:D243,"TRIGARD 750 PM - PCT 15 GR",'CONFINAMENTO-MILHO'!F3:F243)</f>
        <v>0</v>
      </c>
      <c r="J105" s="62">
        <f>COMPRAS!M105</f>
        <v>2.6666666666666665</v>
      </c>
      <c r="K105" s="10">
        <f t="shared" si="8"/>
        <v>0</v>
      </c>
    </row>
    <row r="106" spans="1:11" x14ac:dyDescent="0.3">
      <c r="A106" s="18" t="s">
        <v>18</v>
      </c>
      <c r="B106" s="18">
        <f>B105*0.9</f>
        <v>1583.8799999999999</v>
      </c>
      <c r="H106" s="8" t="s">
        <v>238</v>
      </c>
      <c r="I106" s="30">
        <f>SUMIF('CONFINAMENTO-MILHO'!D3:D242,"UREIA",'CONFINAMENTO-MILHO'!F3:F242)</f>
        <v>112</v>
      </c>
      <c r="J106" s="62">
        <f>COMPRAS!M106</f>
        <v>3.8</v>
      </c>
      <c r="K106" s="10">
        <f t="shared" si="8"/>
        <v>425.59999999999997</v>
      </c>
    </row>
    <row r="107" spans="1:11" ht="15.6" x14ac:dyDescent="0.3">
      <c r="H107" s="25" t="s">
        <v>98</v>
      </c>
      <c r="I107" s="29">
        <f>SUMIF('CONFINAMENTO-MILHO'!D3:D242,"YARAREGA 18-05-18 25 K",'CONFINAMENTO-MILHO'!F3:F242)</f>
        <v>0</v>
      </c>
      <c r="J107" s="62">
        <f>COMPRAS!M107</f>
        <v>6.8032000000000004</v>
      </c>
      <c r="K107" s="10">
        <f t="shared" si="8"/>
        <v>0</v>
      </c>
    </row>
    <row r="108" spans="1:11" x14ac:dyDescent="0.3">
      <c r="H108" s="8"/>
      <c r="I108" s="30"/>
      <c r="J108" s="46"/>
      <c r="K108" s="10"/>
    </row>
    <row r="109" spans="1:11" x14ac:dyDescent="0.3">
      <c r="H109" s="8"/>
      <c r="I109" s="30"/>
      <c r="J109" s="46"/>
      <c r="K109" s="10"/>
    </row>
    <row r="110" spans="1:11" x14ac:dyDescent="0.3">
      <c r="J110" s="46"/>
      <c r="K110" s="10"/>
    </row>
    <row r="111" spans="1:11" x14ac:dyDescent="0.3">
      <c r="J111" s="46"/>
      <c r="K111" s="10"/>
    </row>
    <row r="112" spans="1:11" x14ac:dyDescent="0.3">
      <c r="J112" s="46"/>
      <c r="K112" s="10"/>
    </row>
    <row r="113" spans="10:11" ht="14.4" customHeight="1" x14ac:dyDescent="0.3">
      <c r="J113" s="46"/>
      <c r="K113" s="10"/>
    </row>
    <row r="114" spans="10:11" x14ac:dyDescent="0.3">
      <c r="J114" s="46"/>
      <c r="K114" s="10"/>
    </row>
    <row r="115" spans="10:11" x14ac:dyDescent="0.3">
      <c r="J115" s="46"/>
      <c r="K115" s="10"/>
    </row>
    <row r="116" spans="10:11" ht="15.6" customHeight="1" x14ac:dyDescent="0.3">
      <c r="J116" s="46"/>
      <c r="K116" s="10"/>
    </row>
    <row r="117" spans="10:11" x14ac:dyDescent="0.3">
      <c r="J117" s="46"/>
      <c r="K117" s="10"/>
    </row>
    <row r="118" spans="10:11" x14ac:dyDescent="0.3">
      <c r="J118" s="47"/>
      <c r="K118" s="17"/>
    </row>
    <row r="119" spans="10:11" x14ac:dyDescent="0.3">
      <c r="J119" s="46"/>
      <c r="K119" s="10"/>
    </row>
    <row r="120" spans="10:11" x14ac:dyDescent="0.3">
      <c r="J120" s="47"/>
      <c r="K120" s="17">
        <f>SUM(K3:K119)</f>
        <v>2126.9480303030305</v>
      </c>
    </row>
    <row r="121" spans="10:11" x14ac:dyDescent="0.3">
      <c r="J121" s="46"/>
      <c r="K121" s="10"/>
    </row>
    <row r="122" spans="10:11" x14ac:dyDescent="0.3">
      <c r="J122" s="47"/>
      <c r="K122" s="17"/>
    </row>
    <row r="123" spans="10:11" x14ac:dyDescent="0.3">
      <c r="J123" s="46"/>
      <c r="K123" s="10"/>
    </row>
    <row r="124" spans="10:11" x14ac:dyDescent="0.3">
      <c r="J124" s="47"/>
      <c r="K124" s="17"/>
    </row>
    <row r="125" spans="10:11" x14ac:dyDescent="0.3">
      <c r="J125" s="47"/>
      <c r="K125" s="17"/>
    </row>
    <row r="126" spans="10:11" x14ac:dyDescent="0.3">
      <c r="J126" s="46"/>
      <c r="K126" s="10"/>
    </row>
    <row r="127" spans="10:11" x14ac:dyDescent="0.3">
      <c r="J127" s="47"/>
      <c r="K127" s="17"/>
    </row>
    <row r="128" spans="10:11" x14ac:dyDescent="0.3">
      <c r="J128" s="47"/>
      <c r="K128" s="17"/>
    </row>
    <row r="129" spans="10:11" x14ac:dyDescent="0.3">
      <c r="J129" s="46"/>
      <c r="K129" s="10"/>
    </row>
    <row r="130" spans="10:11" x14ac:dyDescent="0.3">
      <c r="J130" s="47"/>
      <c r="K130" s="17"/>
    </row>
    <row r="131" spans="10:11" x14ac:dyDescent="0.3">
      <c r="J131" s="47"/>
      <c r="K131" s="17"/>
    </row>
    <row r="132" spans="10:11" x14ac:dyDescent="0.3">
      <c r="J132" s="46"/>
      <c r="K132" s="10"/>
    </row>
    <row r="133" spans="10:11" x14ac:dyDescent="0.3">
      <c r="J133" s="47"/>
      <c r="K133" s="17"/>
    </row>
    <row r="134" spans="10:11" x14ac:dyDescent="0.3">
      <c r="J134" s="47"/>
      <c r="K134" s="17"/>
    </row>
    <row r="135" spans="10:11" x14ac:dyDescent="0.3">
      <c r="J135" s="47"/>
      <c r="K135" s="17"/>
    </row>
    <row r="136" spans="10:11" x14ac:dyDescent="0.3">
      <c r="J136" s="46"/>
      <c r="K136" s="10"/>
    </row>
    <row r="137" spans="10:11" x14ac:dyDescent="0.3">
      <c r="J137" s="47"/>
      <c r="K137" s="17"/>
    </row>
    <row r="138" spans="10:11" x14ac:dyDescent="0.3">
      <c r="J138" s="46"/>
      <c r="K138" s="10"/>
    </row>
    <row r="139" spans="10:11" x14ac:dyDescent="0.3">
      <c r="J139" s="46"/>
      <c r="K139" s="10"/>
    </row>
    <row r="140" spans="10:11" x14ac:dyDescent="0.3">
      <c r="J140" s="46"/>
      <c r="K140" s="10"/>
    </row>
    <row r="141" spans="10:11" x14ac:dyDescent="0.3">
      <c r="J141" s="46"/>
      <c r="K141" s="10"/>
    </row>
    <row r="142" spans="10:11" x14ac:dyDescent="0.3">
      <c r="J142" s="46"/>
      <c r="K142" s="10"/>
    </row>
    <row r="143" spans="10:11" x14ac:dyDescent="0.3">
      <c r="J143" s="46"/>
      <c r="K143" s="10"/>
    </row>
    <row r="144" spans="10:11" x14ac:dyDescent="0.3">
      <c r="J144" s="46"/>
      <c r="K144" s="10"/>
    </row>
    <row r="145" spans="8:11" x14ac:dyDescent="0.3">
      <c r="J145" s="46"/>
      <c r="K145" s="10"/>
    </row>
    <row r="146" spans="8:11" x14ac:dyDescent="0.3">
      <c r="J146" s="46"/>
      <c r="K146" s="10"/>
    </row>
    <row r="147" spans="8:11" x14ac:dyDescent="0.3">
      <c r="J147" s="46"/>
      <c r="K147" s="10"/>
    </row>
    <row r="148" spans="8:11" x14ac:dyDescent="0.3">
      <c r="J148" s="46"/>
      <c r="K148" s="10"/>
    </row>
    <row r="149" spans="8:11" x14ac:dyDescent="0.3">
      <c r="J149" s="46"/>
      <c r="K149" s="10"/>
    </row>
    <row r="150" spans="8:11" ht="15.6" x14ac:dyDescent="0.3">
      <c r="H150" s="40"/>
      <c r="J150" s="46"/>
      <c r="K150" s="10"/>
    </row>
    <row r="151" spans="8:11" ht="14.4" customHeight="1" x14ac:dyDescent="0.3">
      <c r="J151" s="46"/>
      <c r="K151" s="10"/>
    </row>
    <row r="152" spans="8:11" x14ac:dyDescent="0.3">
      <c r="J152" s="46"/>
      <c r="K152" s="10"/>
    </row>
    <row r="153" spans="8:11" x14ac:dyDescent="0.3">
      <c r="J153" s="46"/>
      <c r="K153" s="10"/>
    </row>
    <row r="154" spans="8:11" ht="15.6" x14ac:dyDescent="0.3">
      <c r="H154" s="40"/>
      <c r="J154" s="46"/>
      <c r="K154" s="10"/>
    </row>
    <row r="155" spans="8:11" x14ac:dyDescent="0.3">
      <c r="J155" s="46"/>
      <c r="K155" s="10"/>
    </row>
    <row r="156" spans="8:11" ht="15.6" x14ac:dyDescent="0.3">
      <c r="H156" s="39"/>
      <c r="J156" s="46"/>
      <c r="K156" s="10"/>
    </row>
    <row r="157" spans="8:11" x14ac:dyDescent="0.3">
      <c r="J157" s="46"/>
      <c r="K157" s="10"/>
    </row>
    <row r="158" spans="8:11" ht="15.6" x14ac:dyDescent="0.3">
      <c r="H158" s="39"/>
      <c r="J158" s="46"/>
      <c r="K158" s="10"/>
    </row>
    <row r="159" spans="8:11" ht="15.6" x14ac:dyDescent="0.3">
      <c r="H159" s="39"/>
      <c r="J159" s="46"/>
      <c r="K159" s="10"/>
    </row>
    <row r="160" spans="8:11" x14ac:dyDescent="0.3">
      <c r="J160" s="46"/>
      <c r="K160" s="10"/>
    </row>
    <row r="161" spans="10:11" x14ac:dyDescent="0.3">
      <c r="J161" s="46"/>
      <c r="K161" s="10"/>
    </row>
    <row r="162" spans="10:11" x14ac:dyDescent="0.3">
      <c r="J162" s="46"/>
      <c r="K162" s="10"/>
    </row>
    <row r="163" spans="10:11" x14ac:dyDescent="0.3">
      <c r="J163" s="46"/>
      <c r="K163" s="10"/>
    </row>
    <row r="164" spans="10:11" x14ac:dyDescent="0.3">
      <c r="J164" s="46"/>
      <c r="K164" s="10"/>
    </row>
    <row r="165" spans="10:11" x14ac:dyDescent="0.3">
      <c r="J165" s="46"/>
      <c r="K165" s="10"/>
    </row>
    <row r="166" spans="10:11" x14ac:dyDescent="0.3">
      <c r="J166" s="46"/>
      <c r="K166" s="10"/>
    </row>
    <row r="167" spans="10:11" x14ac:dyDescent="0.3">
      <c r="J167" s="46"/>
      <c r="K167" s="10"/>
    </row>
    <row r="168" spans="10:11" x14ac:dyDescent="0.3">
      <c r="J168" s="46"/>
      <c r="K168" s="10"/>
    </row>
    <row r="169" spans="10:11" x14ac:dyDescent="0.3">
      <c r="J169" s="46"/>
      <c r="K169" s="10"/>
    </row>
    <row r="170" spans="10:11" x14ac:dyDescent="0.3">
      <c r="J170" s="46"/>
      <c r="K170" s="10"/>
    </row>
    <row r="171" spans="10:11" x14ac:dyDescent="0.3">
      <c r="J171" s="46"/>
      <c r="K171" s="10"/>
    </row>
    <row r="172" spans="10:11" x14ac:dyDescent="0.3">
      <c r="J172" s="47"/>
      <c r="K172" s="17"/>
    </row>
    <row r="173" spans="10:11" x14ac:dyDescent="0.3">
      <c r="J173" s="46"/>
      <c r="K173" s="10"/>
    </row>
    <row r="174" spans="10:11" x14ac:dyDescent="0.3">
      <c r="J174" s="46"/>
      <c r="K174" s="10"/>
    </row>
    <row r="175" spans="10:11" x14ac:dyDescent="0.3">
      <c r="J175" s="46"/>
      <c r="K175" s="10"/>
    </row>
    <row r="176" spans="10:11" x14ac:dyDescent="0.3">
      <c r="J176" s="47"/>
      <c r="K176" s="17"/>
    </row>
    <row r="177" spans="10:11" x14ac:dyDescent="0.3">
      <c r="J177" s="46"/>
      <c r="K177" s="10"/>
    </row>
    <row r="178" spans="10:11" x14ac:dyDescent="0.3">
      <c r="J178" s="46"/>
      <c r="K178" s="10"/>
    </row>
    <row r="179" spans="10:11" x14ac:dyDescent="0.3">
      <c r="J179" s="46"/>
      <c r="K179" s="10"/>
    </row>
    <row r="180" spans="10:11" x14ac:dyDescent="0.3">
      <c r="J180" s="46"/>
      <c r="K180" s="10"/>
    </row>
  </sheetData>
  <autoFilter ref="D2:F79"/>
  <sortState ref="H3:K180">
    <sortCondition ref="H2"/>
  </sortState>
  <mergeCells count="9">
    <mergeCell ref="A102:B102"/>
    <mergeCell ref="A1:B1"/>
    <mergeCell ref="H1:K1"/>
    <mergeCell ref="M1:Q1"/>
    <mergeCell ref="S1:V1"/>
    <mergeCell ref="D1:F1"/>
    <mergeCell ref="M38:Q38"/>
    <mergeCell ref="S38:W38"/>
    <mergeCell ref="M46:Q46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0"/>
  <sheetViews>
    <sheetView topLeftCell="A13" workbookViewId="0">
      <selection activeCell="I15" activeCellId="1" sqref="H12:I12 H15:I15"/>
    </sheetView>
  </sheetViews>
  <sheetFormatPr defaultRowHeight="14.4" x14ac:dyDescent="0.3"/>
  <cols>
    <col min="1" max="1" width="15.109375" style="4" customWidth="1"/>
    <col min="2" max="2" width="11.5546875" style="13" customWidth="1"/>
    <col min="3" max="3" width="4.5546875" style="20" customWidth="1"/>
    <col min="4" max="4" width="45.77734375" style="4" customWidth="1"/>
    <col min="5" max="5" width="13.44140625" style="4" customWidth="1"/>
    <col min="6" max="6" width="10.88671875" style="4" customWidth="1"/>
    <col min="7" max="7" width="4.5546875" style="20" customWidth="1"/>
    <col min="8" max="8" width="40.44140625" style="4" customWidth="1"/>
    <col min="9" max="9" width="16.6640625" style="27" customWidth="1"/>
    <col min="10" max="10" width="18" style="45" customWidth="1"/>
    <col min="11" max="11" width="16.44140625" style="12" customWidth="1"/>
    <col min="12" max="12" width="3.88671875" style="20" customWidth="1"/>
    <col min="13" max="13" width="24.5546875" style="4" customWidth="1"/>
    <col min="14" max="14" width="11.88671875" style="4" customWidth="1"/>
    <col min="15" max="15" width="10.77734375" style="4" customWidth="1"/>
    <col min="16" max="16" width="11.33203125" style="4" customWidth="1"/>
    <col min="17" max="17" width="12.33203125" style="4" customWidth="1"/>
    <col min="18" max="18" width="13.44140625" style="20" customWidth="1"/>
    <col min="19" max="19" width="23.44140625" style="4" customWidth="1"/>
    <col min="20" max="20" width="15.5546875" style="4" customWidth="1"/>
    <col min="21" max="21" width="8.88671875" style="4"/>
    <col min="22" max="23" width="12.33203125" style="4" customWidth="1"/>
    <col min="24" max="24" width="15.77734375" style="20" customWidth="1"/>
    <col min="25" max="16384" width="8.88671875" style="4"/>
  </cols>
  <sheetData>
    <row r="1" spans="1:23" x14ac:dyDescent="0.3">
      <c r="A1" s="89" t="s">
        <v>3</v>
      </c>
      <c r="B1" s="89"/>
      <c r="C1" s="26"/>
      <c r="D1" s="89" t="s">
        <v>15</v>
      </c>
      <c r="E1" s="89"/>
      <c r="F1" s="89"/>
      <c r="G1" s="26"/>
      <c r="H1" s="90" t="s">
        <v>7</v>
      </c>
      <c r="I1" s="90"/>
      <c r="J1" s="90"/>
      <c r="K1" s="90"/>
      <c r="M1" s="89" t="s">
        <v>29</v>
      </c>
      <c r="N1" s="89"/>
      <c r="O1" s="89"/>
      <c r="P1" s="89"/>
      <c r="Q1" s="89"/>
      <c r="S1" s="89" t="s">
        <v>19</v>
      </c>
      <c r="T1" s="89"/>
      <c r="U1" s="89"/>
      <c r="V1" s="89"/>
    </row>
    <row r="2" spans="1:23" x14ac:dyDescent="0.3">
      <c r="A2" s="5" t="s">
        <v>1</v>
      </c>
      <c r="B2" s="6" t="s">
        <v>6</v>
      </c>
      <c r="D2" s="5" t="s">
        <v>0</v>
      </c>
      <c r="E2" s="5" t="s">
        <v>1</v>
      </c>
      <c r="F2" s="5" t="s">
        <v>2</v>
      </c>
      <c r="H2" s="15" t="s">
        <v>0</v>
      </c>
      <c r="I2" s="28" t="s">
        <v>5</v>
      </c>
      <c r="J2" s="44" t="s">
        <v>8</v>
      </c>
      <c r="K2" s="16" t="s">
        <v>13</v>
      </c>
      <c r="M2" s="5" t="s">
        <v>0</v>
      </c>
      <c r="N2" s="5" t="s">
        <v>1</v>
      </c>
      <c r="O2" s="6" t="s">
        <v>2</v>
      </c>
      <c r="P2" s="7" t="s">
        <v>4</v>
      </c>
      <c r="Q2" s="5" t="s">
        <v>5</v>
      </c>
      <c r="S2" s="5" t="s">
        <v>0</v>
      </c>
      <c r="T2" s="5" t="s">
        <v>1</v>
      </c>
      <c r="U2" s="5" t="s">
        <v>2</v>
      </c>
      <c r="V2" s="5" t="s">
        <v>4</v>
      </c>
      <c r="W2" s="5" t="s">
        <v>5</v>
      </c>
    </row>
    <row r="3" spans="1:23" ht="15.6" x14ac:dyDescent="0.3">
      <c r="A3" s="14"/>
      <c r="D3" s="39" t="s">
        <v>114</v>
      </c>
      <c r="E3" s="11">
        <v>45630</v>
      </c>
      <c r="F3" s="8">
        <v>536.29999999999995</v>
      </c>
      <c r="H3" s="74" t="s">
        <v>185</v>
      </c>
      <c r="I3" s="86">
        <f>SUMIF(TOMATE!D3:D243,"ABADIN 72 EC - 1 LITRO",TOMATE!F3:F243)</f>
        <v>300</v>
      </c>
      <c r="J3" s="62">
        <f>COMPRAS!M3</f>
        <v>0.13</v>
      </c>
      <c r="K3" s="10">
        <f t="shared" ref="K3:K61" si="0">I3*J3</f>
        <v>39</v>
      </c>
      <c r="M3" s="4" t="s">
        <v>253</v>
      </c>
      <c r="N3" s="14">
        <v>45625</v>
      </c>
      <c r="O3" s="13">
        <v>0.5</v>
      </c>
      <c r="P3" s="12">
        <v>70</v>
      </c>
      <c r="Q3" s="12">
        <f>O3*P3</f>
        <v>35</v>
      </c>
      <c r="R3" s="20" t="s">
        <v>251</v>
      </c>
      <c r="T3" s="14">
        <v>45636</v>
      </c>
      <c r="U3" s="4">
        <v>1.5</v>
      </c>
      <c r="V3" s="10">
        <v>10</v>
      </c>
      <c r="W3" s="12">
        <f>U3*V3</f>
        <v>15</v>
      </c>
    </row>
    <row r="4" spans="1:23" x14ac:dyDescent="0.3">
      <c r="A4" s="14"/>
      <c r="D4" s="8" t="s">
        <v>252</v>
      </c>
      <c r="E4" s="11">
        <v>45630</v>
      </c>
      <c r="F4" s="8">
        <v>114.1</v>
      </c>
      <c r="H4" s="61" t="s">
        <v>184</v>
      </c>
      <c r="I4" s="29">
        <f>SUMIF(TOMATE!D3:D244,"ABAMEX -1 LITRO",TOMATE!F3:F244)</f>
        <v>0</v>
      </c>
      <c r="J4" s="62">
        <f>COMPRAS!M4</f>
        <v>0.05</v>
      </c>
      <c r="K4" s="10">
        <f t="shared" si="0"/>
        <v>0</v>
      </c>
      <c r="M4" s="4" t="s">
        <v>254</v>
      </c>
      <c r="N4" s="14">
        <v>45625</v>
      </c>
      <c r="O4" s="13">
        <v>0.5</v>
      </c>
      <c r="P4" s="12">
        <v>70</v>
      </c>
      <c r="Q4" s="12">
        <f t="shared" ref="Q4:Q23" si="1">O4*P4</f>
        <v>35</v>
      </c>
      <c r="R4" s="20" t="s">
        <v>251</v>
      </c>
      <c r="T4" s="11">
        <v>45643</v>
      </c>
      <c r="U4" s="9">
        <v>2</v>
      </c>
      <c r="V4" s="10">
        <v>10</v>
      </c>
      <c r="W4" s="12">
        <f t="shared" ref="W4:W26" si="2">U4*V4</f>
        <v>20</v>
      </c>
    </row>
    <row r="5" spans="1:23" ht="15.6" x14ac:dyDescent="0.3">
      <c r="A5" s="14"/>
      <c r="D5" s="39" t="s">
        <v>114</v>
      </c>
      <c r="E5" s="11">
        <v>45630</v>
      </c>
      <c r="F5" s="8">
        <v>-13.7</v>
      </c>
      <c r="H5" s="39" t="s">
        <v>117</v>
      </c>
      <c r="I5" s="29">
        <f>SUMIF(TOMATE!D3:D244,"ABAMEX MAXX 72% 12X1 LT",TOMATE!F3:F244)</f>
        <v>0</v>
      </c>
      <c r="J5" s="62">
        <f>COMPRAS!M5</f>
        <v>0.1</v>
      </c>
      <c r="K5" s="10">
        <f t="shared" si="0"/>
        <v>0</v>
      </c>
      <c r="M5" s="4" t="s">
        <v>253</v>
      </c>
      <c r="N5" s="79">
        <v>45626</v>
      </c>
      <c r="O5" s="13">
        <v>0.5</v>
      </c>
      <c r="P5" s="12">
        <v>70</v>
      </c>
      <c r="Q5" s="12">
        <f t="shared" si="1"/>
        <v>35</v>
      </c>
      <c r="R5" s="20" t="s">
        <v>251</v>
      </c>
      <c r="T5" s="11">
        <v>45646</v>
      </c>
      <c r="U5" s="9">
        <v>2</v>
      </c>
      <c r="V5" s="10">
        <v>10</v>
      </c>
      <c r="W5" s="12">
        <f t="shared" si="2"/>
        <v>20</v>
      </c>
    </row>
    <row r="6" spans="1:23" ht="15.6" x14ac:dyDescent="0.3">
      <c r="A6" s="14"/>
      <c r="D6" s="8" t="s">
        <v>252</v>
      </c>
      <c r="E6" s="11">
        <v>45630</v>
      </c>
      <c r="F6" s="8">
        <v>-10.9</v>
      </c>
      <c r="H6" s="82" t="s">
        <v>72</v>
      </c>
      <c r="I6" s="78">
        <f>SUMIF(TOMATE!D3:D244,"ACIDO BORICO SACO 25K",TOMATE!F3:F244)</f>
        <v>5.93</v>
      </c>
      <c r="J6" s="62">
        <f>COMPRAS!M6</f>
        <v>10.199999999999999</v>
      </c>
      <c r="K6" s="10">
        <f t="shared" si="0"/>
        <v>60.48599999999999</v>
      </c>
      <c r="M6" s="4" t="s">
        <v>254</v>
      </c>
      <c r="N6" s="79">
        <v>45626</v>
      </c>
      <c r="O6" s="13">
        <v>0.5</v>
      </c>
      <c r="P6" s="12">
        <v>70</v>
      </c>
      <c r="Q6" s="12">
        <f t="shared" si="1"/>
        <v>35</v>
      </c>
      <c r="R6" s="20" t="s">
        <v>251</v>
      </c>
      <c r="T6" s="14">
        <v>45652</v>
      </c>
      <c r="U6" s="4">
        <v>2</v>
      </c>
      <c r="V6" s="10">
        <v>10</v>
      </c>
      <c r="W6" s="12">
        <f t="shared" si="2"/>
        <v>20</v>
      </c>
    </row>
    <row r="7" spans="1:23" ht="15.6" x14ac:dyDescent="0.3">
      <c r="A7" s="80" t="s">
        <v>209</v>
      </c>
      <c r="D7" s="25" t="s">
        <v>90</v>
      </c>
      <c r="E7" s="14">
        <v>45636</v>
      </c>
      <c r="F7" s="4">
        <v>22.5</v>
      </c>
      <c r="H7" s="39" t="s">
        <v>181</v>
      </c>
      <c r="I7" s="29">
        <f>SUMIF(TOMATE!D3:D244,"ADESIL - 1 LITRO",TOMATE!F3:F244)</f>
        <v>0</v>
      </c>
      <c r="J7" s="62">
        <f>COMPRAS!M7</f>
        <v>2.5000000000000001E-2</v>
      </c>
      <c r="K7" s="10">
        <f t="shared" si="0"/>
        <v>0</v>
      </c>
      <c r="M7" s="4" t="s">
        <v>255</v>
      </c>
      <c r="N7" s="51">
        <v>45633</v>
      </c>
      <c r="O7" s="52">
        <v>1</v>
      </c>
      <c r="P7" s="12">
        <v>75</v>
      </c>
      <c r="Q7" s="12">
        <f t="shared" si="1"/>
        <v>75</v>
      </c>
      <c r="R7" s="20" t="s">
        <v>251</v>
      </c>
      <c r="T7" s="11">
        <v>45657</v>
      </c>
      <c r="U7" s="8">
        <v>2</v>
      </c>
      <c r="V7" s="10">
        <v>10</v>
      </c>
      <c r="W7" s="12">
        <f t="shared" si="2"/>
        <v>20</v>
      </c>
    </row>
    <row r="8" spans="1:23" ht="15.6" x14ac:dyDescent="0.3">
      <c r="A8" s="14"/>
      <c r="D8" s="23" t="s">
        <v>43</v>
      </c>
      <c r="E8" s="14">
        <v>45636</v>
      </c>
      <c r="F8" s="4">
        <v>22.5</v>
      </c>
      <c r="H8" s="39" t="s">
        <v>115</v>
      </c>
      <c r="I8" s="29">
        <f>SUMIF(TOMATE!D3:D244,"AGRUMAX MZ 4X5 KG",TOMATE!F3:F244)</f>
        <v>0</v>
      </c>
      <c r="J8" s="62">
        <f>COMPRAS!M8</f>
        <v>3.2000000000000001E-2</v>
      </c>
      <c r="K8" s="10">
        <f t="shared" si="0"/>
        <v>0</v>
      </c>
      <c r="M8" s="4" t="s">
        <v>255</v>
      </c>
      <c r="N8" s="51">
        <v>45633</v>
      </c>
      <c r="O8" s="52">
        <v>1</v>
      </c>
      <c r="P8" s="12">
        <v>75</v>
      </c>
      <c r="Q8" s="12">
        <f t="shared" si="1"/>
        <v>75</v>
      </c>
      <c r="R8" s="20" t="s">
        <v>251</v>
      </c>
      <c r="T8" s="11">
        <v>45660</v>
      </c>
      <c r="U8" s="9">
        <v>2</v>
      </c>
      <c r="V8" s="10">
        <v>10</v>
      </c>
      <c r="W8" s="12">
        <f t="shared" si="2"/>
        <v>20</v>
      </c>
    </row>
    <row r="9" spans="1:23" ht="15.6" x14ac:dyDescent="0.3">
      <c r="A9" s="14"/>
      <c r="D9" s="23" t="s">
        <v>40</v>
      </c>
      <c r="E9" s="14">
        <v>45637</v>
      </c>
      <c r="F9" s="4">
        <v>18.5</v>
      </c>
      <c r="H9" s="83" t="s">
        <v>35</v>
      </c>
      <c r="I9" s="78">
        <f>SUMIF(TOMATE!D3:D244,"AMISTAR TOP 1 L",TOMATE!F3:F244)</f>
        <v>20</v>
      </c>
      <c r="J9" s="62">
        <f>COMPRAS!M9</f>
        <v>0.20499999999999999</v>
      </c>
      <c r="K9" s="10">
        <f t="shared" si="0"/>
        <v>4.0999999999999996</v>
      </c>
      <c r="M9" s="4" t="s">
        <v>255</v>
      </c>
      <c r="N9" s="51">
        <v>45633</v>
      </c>
      <c r="O9" s="9">
        <v>0.5</v>
      </c>
      <c r="P9" s="12">
        <v>75</v>
      </c>
      <c r="Q9" s="12">
        <f t="shared" si="1"/>
        <v>37.5</v>
      </c>
      <c r="R9" s="20" t="s">
        <v>251</v>
      </c>
      <c r="T9" s="11">
        <v>45663</v>
      </c>
      <c r="U9" s="4">
        <v>2</v>
      </c>
      <c r="V9" s="10">
        <v>10</v>
      </c>
      <c r="W9" s="12">
        <f t="shared" si="2"/>
        <v>20</v>
      </c>
    </row>
    <row r="10" spans="1:23" ht="15.6" x14ac:dyDescent="0.3">
      <c r="A10" s="14"/>
      <c r="D10" s="23" t="s">
        <v>40</v>
      </c>
      <c r="E10" s="11">
        <v>45642</v>
      </c>
      <c r="F10" s="8">
        <v>18.75</v>
      </c>
      <c r="H10" s="23" t="s">
        <v>41</v>
      </c>
      <c r="I10" s="29">
        <f>SUMIF(TOMATE!D3:D244,"AMISTAR WG 6X500 G-1 KILO",TOMATE!F3:F244)</f>
        <v>0</v>
      </c>
      <c r="J10" s="62">
        <f>COMPRAS!M10</f>
        <v>0.2</v>
      </c>
      <c r="K10" s="10">
        <f t="shared" si="0"/>
        <v>0</v>
      </c>
      <c r="M10" s="4" t="s">
        <v>255</v>
      </c>
      <c r="N10" s="14">
        <v>45661</v>
      </c>
      <c r="O10" s="4">
        <v>2</v>
      </c>
      <c r="P10" s="10">
        <v>75</v>
      </c>
      <c r="Q10" s="12">
        <f>U8*P10</f>
        <v>150</v>
      </c>
      <c r="T10" s="11">
        <v>45666</v>
      </c>
      <c r="U10" s="8">
        <v>2</v>
      </c>
      <c r="V10" s="10">
        <v>10</v>
      </c>
      <c r="W10" s="12">
        <f t="shared" si="2"/>
        <v>20</v>
      </c>
    </row>
    <row r="11" spans="1:23" ht="15.6" x14ac:dyDescent="0.3">
      <c r="A11" s="14"/>
      <c r="D11" s="23" t="s">
        <v>101</v>
      </c>
      <c r="E11" s="11">
        <v>45642</v>
      </c>
      <c r="F11" s="8">
        <v>1900</v>
      </c>
      <c r="H11" s="82" t="s">
        <v>23</v>
      </c>
      <c r="I11" s="78">
        <f>SUMIF(TOMATE!D3:D244,"AMPLIGO 250 ML",TOMATE!F3:F244)</f>
        <v>40</v>
      </c>
      <c r="J11" s="62">
        <f>COMPRAS!M11</f>
        <v>0.39</v>
      </c>
      <c r="K11" s="10">
        <f t="shared" si="0"/>
        <v>15.600000000000001</v>
      </c>
      <c r="M11" s="8" t="s">
        <v>256</v>
      </c>
      <c r="N11" s="14">
        <v>45661</v>
      </c>
      <c r="O11" s="9">
        <v>3</v>
      </c>
      <c r="P11" s="10">
        <v>80</v>
      </c>
      <c r="Q11" s="12">
        <f t="shared" si="1"/>
        <v>240</v>
      </c>
      <c r="S11" s="8"/>
      <c r="T11" s="11">
        <v>45671</v>
      </c>
      <c r="U11" s="8">
        <v>2</v>
      </c>
      <c r="V11" s="10">
        <v>10</v>
      </c>
      <c r="W11" s="12">
        <f t="shared" si="2"/>
        <v>20</v>
      </c>
    </row>
    <row r="12" spans="1:23" ht="15.6" x14ac:dyDescent="0.3">
      <c r="A12" s="14"/>
      <c r="D12" s="23" t="s">
        <v>26</v>
      </c>
      <c r="E12" s="11">
        <v>45642</v>
      </c>
      <c r="F12" s="8">
        <v>190</v>
      </c>
      <c r="H12" s="87" t="s">
        <v>68</v>
      </c>
      <c r="I12" s="78">
        <f>SUMIF(TOMATE!D3:D244,"AVATAR 1 L",TOMATE!F3:F244)</f>
        <v>240</v>
      </c>
      <c r="J12" s="62">
        <f>COMPRAS!M12</f>
        <v>0.375</v>
      </c>
      <c r="K12" s="10">
        <f t="shared" si="0"/>
        <v>90</v>
      </c>
      <c r="M12" s="8" t="s">
        <v>257</v>
      </c>
      <c r="N12" s="11">
        <v>45663</v>
      </c>
      <c r="O12" s="9">
        <v>1</v>
      </c>
      <c r="P12" s="10">
        <v>80</v>
      </c>
      <c r="Q12" s="12">
        <f t="shared" si="1"/>
        <v>80</v>
      </c>
      <c r="R12" s="20" t="s">
        <v>258</v>
      </c>
      <c r="S12" s="8"/>
      <c r="T12" s="11">
        <v>45674</v>
      </c>
      <c r="U12" s="8">
        <v>3</v>
      </c>
      <c r="V12" s="10">
        <v>10</v>
      </c>
      <c r="W12" s="12">
        <f t="shared" si="2"/>
        <v>30</v>
      </c>
    </row>
    <row r="13" spans="1:23" ht="15.6" x14ac:dyDescent="0.3">
      <c r="A13" s="14"/>
      <c r="D13" s="23" t="s">
        <v>72</v>
      </c>
      <c r="E13" s="11">
        <v>45642</v>
      </c>
      <c r="F13" s="8">
        <v>0.75</v>
      </c>
      <c r="H13" s="25" t="s">
        <v>33</v>
      </c>
      <c r="I13" s="29">
        <f>SUMIF(TOMATE!D3:D244,"BARBANTE EM NOVELO N10 BRANCO",TOMATE!F3:F244)</f>
        <v>0</v>
      </c>
      <c r="J13" s="62">
        <f>COMPRAS!M13</f>
        <v>29.625</v>
      </c>
      <c r="K13" s="10">
        <f t="shared" si="0"/>
        <v>0</v>
      </c>
      <c r="M13" s="4" t="s">
        <v>255</v>
      </c>
      <c r="N13" s="11">
        <v>45668</v>
      </c>
      <c r="O13" s="9">
        <v>2</v>
      </c>
      <c r="P13" s="10">
        <v>75</v>
      </c>
      <c r="Q13" s="12">
        <f t="shared" si="1"/>
        <v>150</v>
      </c>
      <c r="S13" s="8"/>
      <c r="T13" s="11">
        <v>45676</v>
      </c>
      <c r="U13" s="8">
        <v>3</v>
      </c>
      <c r="V13" s="10">
        <v>10</v>
      </c>
      <c r="W13" s="12">
        <f t="shared" si="2"/>
        <v>30</v>
      </c>
    </row>
    <row r="14" spans="1:23" ht="15.6" x14ac:dyDescent="0.3">
      <c r="A14" s="14"/>
      <c r="D14" s="25" t="s">
        <v>57</v>
      </c>
      <c r="E14" s="14">
        <v>45643</v>
      </c>
      <c r="F14" s="4">
        <v>100</v>
      </c>
      <c r="H14" s="25" t="s">
        <v>32</v>
      </c>
      <c r="I14" s="29">
        <f>SUMIF(TOMATE!D3:D244,"BARBANTE EM NOVELO N8 OURO",TOMATE!F3:F244)</f>
        <v>0</v>
      </c>
      <c r="J14" s="62">
        <f>COMPRAS!M14</f>
        <v>31.576923076923077</v>
      </c>
      <c r="K14" s="10">
        <f t="shared" si="0"/>
        <v>0</v>
      </c>
      <c r="M14" s="8" t="s">
        <v>256</v>
      </c>
      <c r="N14" s="11">
        <v>45668</v>
      </c>
      <c r="O14" s="9">
        <v>1.5</v>
      </c>
      <c r="P14" s="10">
        <v>80</v>
      </c>
      <c r="Q14" s="12">
        <f t="shared" si="1"/>
        <v>120</v>
      </c>
      <c r="S14" s="8"/>
      <c r="T14" s="11">
        <v>45680</v>
      </c>
      <c r="U14" s="8">
        <v>3</v>
      </c>
      <c r="V14" s="10">
        <v>10</v>
      </c>
      <c r="W14" s="12">
        <f t="shared" si="2"/>
        <v>30</v>
      </c>
    </row>
    <row r="15" spans="1:23" ht="15.6" x14ac:dyDescent="0.3">
      <c r="A15" s="14"/>
      <c r="D15" s="25" t="s">
        <v>36</v>
      </c>
      <c r="E15" s="14">
        <v>45643</v>
      </c>
      <c r="F15" s="4">
        <v>60</v>
      </c>
      <c r="H15" s="83" t="s">
        <v>73</v>
      </c>
      <c r="I15" s="78">
        <f>SUMIF(TOMATE!D3:D244,"BENZOATO  1K",TOMATE!F3:F244)</f>
        <v>88</v>
      </c>
      <c r="J15" s="62">
        <f>COMPRAS!M15</f>
        <v>0.45</v>
      </c>
      <c r="K15" s="10">
        <f t="shared" si="0"/>
        <v>39.6</v>
      </c>
      <c r="M15" s="8" t="s">
        <v>256</v>
      </c>
      <c r="N15" s="11">
        <v>45682</v>
      </c>
      <c r="O15" s="9">
        <v>5.5</v>
      </c>
      <c r="P15" s="10">
        <v>80</v>
      </c>
      <c r="Q15" s="12">
        <f t="shared" si="1"/>
        <v>440</v>
      </c>
      <c r="S15" s="8"/>
      <c r="T15" s="14">
        <v>45681</v>
      </c>
      <c r="U15" s="8">
        <v>3</v>
      </c>
      <c r="V15" s="10">
        <v>10</v>
      </c>
      <c r="W15" s="12">
        <f t="shared" si="2"/>
        <v>30</v>
      </c>
    </row>
    <row r="16" spans="1:23" ht="15.6" x14ac:dyDescent="0.3">
      <c r="A16" s="14"/>
      <c r="D16" s="23" t="s">
        <v>23</v>
      </c>
      <c r="E16" s="14">
        <v>45643</v>
      </c>
      <c r="F16" s="4">
        <v>40</v>
      </c>
      <c r="H16" s="23" t="s">
        <v>44</v>
      </c>
      <c r="I16" s="29">
        <f>SUMIF(TOMATE!D3:D244,"BION 500 WG  25 G",TOMATE!F3:F244)</f>
        <v>2</v>
      </c>
      <c r="J16" s="62">
        <f>COMPRAS!M16</f>
        <v>2.8</v>
      </c>
      <c r="K16" s="10">
        <f t="shared" si="0"/>
        <v>5.6</v>
      </c>
      <c r="M16" s="4" t="s">
        <v>255</v>
      </c>
      <c r="N16" s="11">
        <v>45682</v>
      </c>
      <c r="O16" s="9">
        <v>5</v>
      </c>
      <c r="P16" s="10">
        <v>75</v>
      </c>
      <c r="Q16" s="12">
        <f t="shared" si="1"/>
        <v>375</v>
      </c>
      <c r="S16" s="8"/>
      <c r="T16" s="14">
        <v>45686</v>
      </c>
      <c r="U16" s="8">
        <v>3</v>
      </c>
      <c r="V16" s="10">
        <v>10</v>
      </c>
      <c r="W16" s="12">
        <f t="shared" si="2"/>
        <v>30</v>
      </c>
    </row>
    <row r="17" spans="1:23" ht="15.6" x14ac:dyDescent="0.3">
      <c r="A17" s="14"/>
      <c r="D17" s="23" t="s">
        <v>45</v>
      </c>
      <c r="E17" s="14">
        <v>45646</v>
      </c>
      <c r="F17" s="4">
        <v>100</v>
      </c>
      <c r="H17" s="23" t="s">
        <v>34</v>
      </c>
      <c r="I17" s="29">
        <f>SUMIF(TOMATE!D3:D244,"BRAVONIL ULTREX 1 KILO",TOMATE!F3:F244)</f>
        <v>0</v>
      </c>
      <c r="J17" s="62">
        <f>COMPRAS!M17</f>
        <v>0.1</v>
      </c>
      <c r="K17" s="10">
        <f t="shared" si="0"/>
        <v>0</v>
      </c>
      <c r="M17" s="8" t="s">
        <v>256</v>
      </c>
      <c r="N17" s="11">
        <v>45689</v>
      </c>
      <c r="O17" s="9">
        <v>4</v>
      </c>
      <c r="P17" s="10">
        <v>80</v>
      </c>
      <c r="Q17" s="12">
        <f t="shared" si="1"/>
        <v>320</v>
      </c>
      <c r="R17" s="20" t="s">
        <v>251</v>
      </c>
      <c r="S17" s="8"/>
      <c r="T17" s="14">
        <v>45693</v>
      </c>
      <c r="U17" s="8">
        <v>3</v>
      </c>
      <c r="V17" s="10">
        <v>10</v>
      </c>
      <c r="W17" s="12">
        <f t="shared" si="2"/>
        <v>30</v>
      </c>
    </row>
    <row r="18" spans="1:23" ht="15.6" x14ac:dyDescent="0.3">
      <c r="A18" s="14"/>
      <c r="D18" s="25" t="s">
        <v>50</v>
      </c>
      <c r="E18" s="14">
        <v>45646</v>
      </c>
      <c r="F18" s="4">
        <v>80</v>
      </c>
      <c r="H18" s="23" t="s">
        <v>94</v>
      </c>
      <c r="I18" s="29">
        <f>SUMIF(TOMATE!D3:D244,"BRIT",TOMATE!F3:F244)</f>
        <v>0</v>
      </c>
      <c r="J18" s="62">
        <f>COMPRAS!M18</f>
        <v>6.5000000000000002E-2</v>
      </c>
      <c r="K18" s="10">
        <f t="shared" si="0"/>
        <v>0</v>
      </c>
      <c r="M18" s="4" t="s">
        <v>255</v>
      </c>
      <c r="N18" s="11">
        <v>45689</v>
      </c>
      <c r="O18" s="9">
        <v>2</v>
      </c>
      <c r="P18" s="10">
        <v>75</v>
      </c>
      <c r="Q18" s="12">
        <f t="shared" si="1"/>
        <v>150</v>
      </c>
      <c r="R18" s="20" t="s">
        <v>251</v>
      </c>
      <c r="S18" s="8"/>
      <c r="T18" s="11">
        <v>45697</v>
      </c>
      <c r="U18" s="8">
        <v>3</v>
      </c>
      <c r="V18" s="10">
        <v>10</v>
      </c>
      <c r="W18" s="12">
        <f t="shared" si="2"/>
        <v>30</v>
      </c>
    </row>
    <row r="19" spans="1:23" ht="15.6" x14ac:dyDescent="0.3">
      <c r="A19" s="14"/>
      <c r="D19" s="23" t="s">
        <v>53</v>
      </c>
      <c r="E19" s="14">
        <v>45650</v>
      </c>
      <c r="F19" s="4">
        <v>28</v>
      </c>
      <c r="H19" s="82" t="s">
        <v>28</v>
      </c>
      <c r="I19" s="78">
        <f>SUMIF(TOMATE!D3:D244,"CAIXA PARA TOMATE ",TOMATE!F3:F244)</f>
        <v>0</v>
      </c>
      <c r="J19" s="62">
        <f>COMPRAS!M19</f>
        <v>0</v>
      </c>
      <c r="K19" s="10">
        <f t="shared" si="0"/>
        <v>0</v>
      </c>
      <c r="M19" s="8" t="s">
        <v>256</v>
      </c>
      <c r="N19" s="11">
        <v>45696</v>
      </c>
      <c r="O19" s="9">
        <v>4.5</v>
      </c>
      <c r="P19" s="10">
        <v>80</v>
      </c>
      <c r="Q19" s="12">
        <f t="shared" si="1"/>
        <v>360</v>
      </c>
      <c r="R19" s="20" t="s">
        <v>251</v>
      </c>
      <c r="T19" s="14">
        <v>45700</v>
      </c>
      <c r="U19" s="4">
        <v>3</v>
      </c>
      <c r="V19" s="10">
        <v>10</v>
      </c>
      <c r="W19" s="12">
        <f t="shared" si="2"/>
        <v>30</v>
      </c>
    </row>
    <row r="20" spans="1:23" ht="15.6" x14ac:dyDescent="0.3">
      <c r="A20" s="14"/>
      <c r="D20" s="23" t="s">
        <v>101</v>
      </c>
      <c r="E20" s="14">
        <v>45650</v>
      </c>
      <c r="F20" s="4">
        <v>1850</v>
      </c>
      <c r="H20" s="25" t="s">
        <v>39</v>
      </c>
      <c r="I20" s="29">
        <f>SUMIF(TOMATE!D3:D244,"CAL SUPER 5 LITROS",TOMATE!F3:F244)</f>
        <v>0</v>
      </c>
      <c r="J20" s="62">
        <f>COMPRAS!M20</f>
        <v>4.3999999999999997E-2</v>
      </c>
      <c r="K20" s="10">
        <f t="shared" si="0"/>
        <v>0</v>
      </c>
      <c r="M20" s="8" t="s">
        <v>261</v>
      </c>
      <c r="N20" s="11">
        <v>45699</v>
      </c>
      <c r="O20" s="9">
        <v>1</v>
      </c>
      <c r="P20" s="12">
        <v>15</v>
      </c>
      <c r="Q20" s="12">
        <f t="shared" si="1"/>
        <v>15</v>
      </c>
      <c r="R20" s="20" t="s">
        <v>251</v>
      </c>
      <c r="S20" s="8"/>
      <c r="T20" s="14">
        <v>45703</v>
      </c>
      <c r="U20" s="8">
        <v>3</v>
      </c>
      <c r="V20" s="10">
        <v>10</v>
      </c>
      <c r="W20" s="12">
        <f t="shared" si="2"/>
        <v>30</v>
      </c>
    </row>
    <row r="21" spans="1:23" ht="15.6" x14ac:dyDescent="0.3">
      <c r="A21" s="14"/>
      <c r="D21" s="23" t="s">
        <v>26</v>
      </c>
      <c r="E21" s="14">
        <v>45650</v>
      </c>
      <c r="F21" s="4">
        <v>1850</v>
      </c>
      <c r="H21" s="23" t="s">
        <v>195</v>
      </c>
      <c r="I21" s="29">
        <f>SUMIF(TOMATE!D3:D244,"CARNADINE- 1 LITRO",TOMATE!F3:F244)</f>
        <v>90</v>
      </c>
      <c r="J21" s="62">
        <f>COMPRAS!M21</f>
        <v>6.0833333333333336E-2</v>
      </c>
      <c r="K21" s="10">
        <f t="shared" si="0"/>
        <v>5.4750000000000005</v>
      </c>
      <c r="M21" s="8" t="s">
        <v>262</v>
      </c>
      <c r="N21" s="11">
        <v>45701</v>
      </c>
      <c r="O21" s="9">
        <v>1</v>
      </c>
      <c r="P21" s="12">
        <v>85</v>
      </c>
      <c r="Q21" s="12">
        <f t="shared" si="1"/>
        <v>85</v>
      </c>
      <c r="R21" s="20" t="s">
        <v>251</v>
      </c>
      <c r="S21" s="8"/>
      <c r="T21" s="14">
        <v>45706</v>
      </c>
      <c r="U21" s="8">
        <v>3</v>
      </c>
      <c r="V21" s="10">
        <v>10</v>
      </c>
      <c r="W21" s="12">
        <f t="shared" si="2"/>
        <v>30</v>
      </c>
    </row>
    <row r="22" spans="1:23" ht="15.6" x14ac:dyDescent="0.3">
      <c r="A22" s="14"/>
      <c r="D22" s="25" t="s">
        <v>70</v>
      </c>
      <c r="E22" s="11">
        <v>45652</v>
      </c>
      <c r="F22" s="8">
        <v>80</v>
      </c>
      <c r="H22" s="39" t="s">
        <v>197</v>
      </c>
      <c r="I22" s="29">
        <f>SUMIF(TOMATE!D3:D244,"CERCOBIN 875 WG- 1 KG",TOMATE!F3:F244)</f>
        <v>0</v>
      </c>
      <c r="J22" s="62">
        <f>COMPRAS!M22</f>
        <v>8.5000000000000006E-2</v>
      </c>
      <c r="K22" s="10">
        <f t="shared" si="0"/>
        <v>0</v>
      </c>
      <c r="M22" s="8" t="s">
        <v>256</v>
      </c>
      <c r="N22" s="11">
        <v>45705</v>
      </c>
      <c r="O22" s="9">
        <v>3</v>
      </c>
      <c r="P22" s="12">
        <v>80</v>
      </c>
      <c r="Q22" s="12">
        <f t="shared" si="1"/>
        <v>240</v>
      </c>
      <c r="R22" s="20" t="s">
        <v>251</v>
      </c>
      <c r="S22" s="8"/>
      <c r="T22" s="14">
        <v>45707</v>
      </c>
      <c r="U22" s="8">
        <v>3</v>
      </c>
      <c r="V22" s="10">
        <v>10</v>
      </c>
      <c r="W22" s="12">
        <f t="shared" si="2"/>
        <v>30</v>
      </c>
    </row>
    <row r="23" spans="1:23" x14ac:dyDescent="0.3">
      <c r="A23" s="14"/>
      <c r="D23" s="17" t="s">
        <v>87</v>
      </c>
      <c r="E23" s="11">
        <v>45652</v>
      </c>
      <c r="F23" s="8">
        <v>30</v>
      </c>
      <c r="H23" s="17" t="s">
        <v>87</v>
      </c>
      <c r="I23" s="29">
        <f>SUMIF(TOMATE!D3:D244,"D FIX - 1 LITRO",TOMATE!F3:F244)</f>
        <v>260</v>
      </c>
      <c r="J23" s="62">
        <f>COMPRAS!M23</f>
        <v>0.11</v>
      </c>
      <c r="K23" s="10">
        <f t="shared" si="0"/>
        <v>28.6</v>
      </c>
      <c r="M23" s="8" t="s">
        <v>256</v>
      </c>
      <c r="N23" s="11">
        <v>45710</v>
      </c>
      <c r="O23" s="9">
        <v>4</v>
      </c>
      <c r="P23" s="12">
        <v>80</v>
      </c>
      <c r="Q23" s="12">
        <f t="shared" si="1"/>
        <v>320</v>
      </c>
      <c r="R23" s="20" t="s">
        <v>251</v>
      </c>
      <c r="T23" s="14">
        <v>45708</v>
      </c>
      <c r="U23" s="4">
        <v>3</v>
      </c>
      <c r="V23" s="12">
        <v>10</v>
      </c>
      <c r="W23" s="12">
        <f t="shared" si="2"/>
        <v>30</v>
      </c>
    </row>
    <row r="24" spans="1:23" ht="15.6" x14ac:dyDescent="0.3">
      <c r="A24" s="14"/>
      <c r="D24" s="25" t="s">
        <v>88</v>
      </c>
      <c r="E24" s="11">
        <v>45652</v>
      </c>
      <c r="F24" s="8">
        <v>30</v>
      </c>
      <c r="H24" s="25" t="s">
        <v>88</v>
      </c>
      <c r="I24" s="29">
        <f>SUMIF(TOMATE!D3:D244,"D S30 - 1 LITRO",TOMATE!F3:F244)</f>
        <v>260</v>
      </c>
      <c r="J24" s="62">
        <f>COMPRAS!M24</f>
        <v>6.5000000000000002E-2</v>
      </c>
      <c r="K24" s="10">
        <f t="shared" si="0"/>
        <v>16.900000000000002</v>
      </c>
      <c r="M24" s="8"/>
      <c r="N24" s="11"/>
      <c r="O24" s="9"/>
      <c r="P24" s="12"/>
      <c r="Q24" s="12"/>
      <c r="T24" s="14">
        <v>45711</v>
      </c>
      <c r="U24" s="4">
        <v>4</v>
      </c>
      <c r="V24" s="12">
        <v>10</v>
      </c>
      <c r="W24" s="12">
        <f t="shared" si="2"/>
        <v>40</v>
      </c>
    </row>
    <row r="25" spans="1:23" ht="15.6" x14ac:dyDescent="0.3">
      <c r="A25" s="14"/>
      <c r="D25" s="61" t="s">
        <v>185</v>
      </c>
      <c r="E25" s="11">
        <v>45652</v>
      </c>
      <c r="F25" s="8">
        <v>60</v>
      </c>
      <c r="H25" s="25" t="s">
        <v>85</v>
      </c>
      <c r="I25" s="29">
        <f>SUMIF(TOMATE!D3:D244,"DELEGATE(TM) - FR 120 GR",TOMATE!F3:F244)</f>
        <v>20</v>
      </c>
      <c r="J25" s="62">
        <f>COMPRAS!M25</f>
        <v>2.75</v>
      </c>
      <c r="K25" s="10">
        <f t="shared" si="0"/>
        <v>55</v>
      </c>
      <c r="M25" s="8"/>
      <c r="N25" s="14"/>
      <c r="O25" s="9"/>
      <c r="P25" s="12"/>
      <c r="Q25" s="12"/>
      <c r="T25" s="14">
        <v>45715</v>
      </c>
      <c r="U25" s="4">
        <v>4</v>
      </c>
      <c r="V25" s="12">
        <v>10</v>
      </c>
      <c r="W25" s="12">
        <f t="shared" si="2"/>
        <v>40</v>
      </c>
    </row>
    <row r="26" spans="1:23" ht="15.6" x14ac:dyDescent="0.3">
      <c r="A26" s="14"/>
      <c r="D26" s="25" t="s">
        <v>66</v>
      </c>
      <c r="E26" s="11">
        <v>45657</v>
      </c>
      <c r="F26" s="4">
        <v>40</v>
      </c>
      <c r="H26" s="25" t="s">
        <v>70</v>
      </c>
      <c r="I26" s="29">
        <f>SUMIF(TOMATE!D3:D244,"DFULL 1 LITRO",TOMATE!F3:F244)</f>
        <v>665</v>
      </c>
      <c r="J26" s="62">
        <f>COMPRAS!M26</f>
        <v>0.155</v>
      </c>
      <c r="K26" s="10">
        <f t="shared" si="0"/>
        <v>103.075</v>
      </c>
      <c r="M26" s="8"/>
      <c r="N26" s="14"/>
      <c r="O26" s="9"/>
      <c r="P26" s="12"/>
      <c r="Q26" s="12"/>
      <c r="T26" s="14">
        <v>45717</v>
      </c>
      <c r="U26" s="4">
        <v>3</v>
      </c>
      <c r="V26" s="12">
        <v>10</v>
      </c>
      <c r="W26" s="12">
        <f t="shared" si="2"/>
        <v>30</v>
      </c>
    </row>
    <row r="27" spans="1:23" ht="15.6" x14ac:dyDescent="0.3">
      <c r="A27" s="14"/>
      <c r="D27" s="25" t="s">
        <v>57</v>
      </c>
      <c r="E27" s="11">
        <v>45657</v>
      </c>
      <c r="F27" s="4">
        <v>60</v>
      </c>
      <c r="H27" s="39" t="s">
        <v>189</v>
      </c>
      <c r="I27" s="30">
        <f>SUMIF(TOMATE!D3:D244,"DICARZOL 500 SP 12 X 500 GRS",TOMATE!F3:F244)</f>
        <v>0</v>
      </c>
      <c r="J27" s="62">
        <f>COMPRAS!M27</f>
        <v>0.76</v>
      </c>
      <c r="K27" s="10">
        <f t="shared" si="0"/>
        <v>0</v>
      </c>
      <c r="M27" s="8"/>
      <c r="N27" s="8"/>
      <c r="O27" s="9"/>
      <c r="P27" s="12"/>
      <c r="Q27" s="12"/>
      <c r="T27" s="14"/>
      <c r="V27" s="12"/>
      <c r="W27" s="12"/>
    </row>
    <row r="28" spans="1:23" ht="15.6" x14ac:dyDescent="0.3">
      <c r="A28" s="14"/>
      <c r="D28" s="25" t="s">
        <v>38</v>
      </c>
      <c r="E28" s="11">
        <v>45657</v>
      </c>
      <c r="F28" s="4">
        <v>60</v>
      </c>
      <c r="H28" s="25" t="s">
        <v>79</v>
      </c>
      <c r="I28" s="30">
        <f>SUMIF(TOMATE!D3:D244,"DISPAROULTRA-S - GL DE 5 LITROS",TOMATE!F3:F244)</f>
        <v>0</v>
      </c>
      <c r="J28" s="62">
        <f>COMPRAS!M28</f>
        <v>2.8000000000000001E-2</v>
      </c>
      <c r="K28" s="10">
        <f t="shared" si="0"/>
        <v>0</v>
      </c>
      <c r="P28" s="10"/>
      <c r="V28" s="12"/>
      <c r="W28" s="12"/>
    </row>
    <row r="29" spans="1:23" ht="15.6" x14ac:dyDescent="0.3">
      <c r="A29" s="14"/>
      <c r="D29" s="23" t="s">
        <v>48</v>
      </c>
      <c r="E29" s="11">
        <v>45690</v>
      </c>
      <c r="F29" s="4">
        <v>37</v>
      </c>
      <c r="H29" s="25" t="s">
        <v>80</v>
      </c>
      <c r="I29" s="30">
        <f>SUMIF(TOMATE!D3:D244,"DOMINUM XT-S - GL 5 LITROS",TOMATE!F3:F244)</f>
        <v>0</v>
      </c>
      <c r="J29" s="62">
        <f>COMPRAS!M29</f>
        <v>0.128</v>
      </c>
      <c r="K29" s="10">
        <f t="shared" si="0"/>
        <v>0</v>
      </c>
      <c r="M29" s="8"/>
      <c r="N29" s="8"/>
      <c r="O29" s="9"/>
      <c r="P29" s="10"/>
      <c r="V29" s="12"/>
      <c r="W29" s="12"/>
    </row>
    <row r="30" spans="1:23" ht="15.6" x14ac:dyDescent="0.3">
      <c r="A30" s="14"/>
      <c r="D30" s="25" t="s">
        <v>70</v>
      </c>
      <c r="E30" s="11">
        <v>45660</v>
      </c>
      <c r="F30" s="4">
        <v>80</v>
      </c>
      <c r="H30" s="39" t="s">
        <v>116</v>
      </c>
      <c r="I30" s="30">
        <f>SUMIF(TOMATE!D3:D244,"DRIPSOL BORO K 00.00.01+17% BORO 25 k",TOMATE!F3:F244)</f>
        <v>0</v>
      </c>
      <c r="J30" s="62">
        <f>COMPRAS!M30</f>
        <v>11.4</v>
      </c>
      <c r="K30" s="10">
        <f t="shared" si="0"/>
        <v>0</v>
      </c>
      <c r="M30" s="8"/>
      <c r="N30" s="8"/>
      <c r="O30" s="9"/>
      <c r="P30" s="10"/>
      <c r="V30" s="12"/>
      <c r="W30" s="12"/>
    </row>
    <row r="31" spans="1:23" ht="15.6" x14ac:dyDescent="0.3">
      <c r="A31" s="14"/>
      <c r="D31" s="17" t="s">
        <v>87</v>
      </c>
      <c r="E31" s="11">
        <v>45660</v>
      </c>
      <c r="F31" s="4">
        <v>30</v>
      </c>
      <c r="H31" s="25" t="s">
        <v>109</v>
      </c>
      <c r="I31" s="29">
        <f>SUMIF(TOMATE!D3:D244,"DRIPSOL CRESCIMENTO 24-10-10 25 KG",TOMATE!F3:F244)</f>
        <v>0</v>
      </c>
      <c r="J31" s="62">
        <f>COMPRAS!M31</f>
        <v>10.6</v>
      </c>
      <c r="K31" s="10">
        <f t="shared" si="0"/>
        <v>0</v>
      </c>
      <c r="O31" s="13"/>
      <c r="P31" s="12"/>
      <c r="V31" s="12"/>
      <c r="W31" s="12"/>
    </row>
    <row r="32" spans="1:23" ht="15.6" x14ac:dyDescent="0.3">
      <c r="A32" s="14"/>
      <c r="D32" s="25" t="s">
        <v>88</v>
      </c>
      <c r="E32" s="11">
        <v>45660</v>
      </c>
      <c r="F32" s="4">
        <v>30</v>
      </c>
      <c r="H32" s="23" t="s">
        <v>40</v>
      </c>
      <c r="I32" s="29">
        <f>SUMIF(TOMATE!D3:D244,"DRIPSOL INICIAL 15-30-15 25 KG",TOMATE!F3:F244)</f>
        <v>37.25</v>
      </c>
      <c r="J32" s="62">
        <f>COMPRAS!M32</f>
        <v>9.2769230769230777</v>
      </c>
      <c r="K32" s="10">
        <f t="shared" si="0"/>
        <v>345.56538461538463</v>
      </c>
      <c r="M32" s="8"/>
      <c r="N32" s="8"/>
      <c r="O32" s="9"/>
      <c r="P32" s="10"/>
      <c r="V32" s="12"/>
      <c r="W32" s="12"/>
    </row>
    <row r="33" spans="1:23" ht="15.6" x14ac:dyDescent="0.3">
      <c r="A33" s="14"/>
      <c r="D33" s="61" t="s">
        <v>185</v>
      </c>
      <c r="E33" s="11">
        <v>45660</v>
      </c>
      <c r="F33" s="4">
        <v>60</v>
      </c>
      <c r="H33" s="23" t="s">
        <v>47</v>
      </c>
      <c r="I33" s="29">
        <f>SUMIF(TOMATE!D3:D244,"DRIPSOL MICRO REXENE 700 GRAMAS",TOMATE!F3:F244)</f>
        <v>0</v>
      </c>
      <c r="J33" s="62">
        <f>COMPRAS!M33</f>
        <v>8.2857142857142851E-2</v>
      </c>
      <c r="K33" s="10">
        <f t="shared" si="0"/>
        <v>0</v>
      </c>
      <c r="M33" s="8"/>
      <c r="N33" s="8"/>
      <c r="O33" s="9"/>
      <c r="P33" s="10"/>
      <c r="V33" s="12"/>
      <c r="W33" s="12"/>
    </row>
    <row r="34" spans="1:23" ht="15.6" x14ac:dyDescent="0.3">
      <c r="A34" s="14"/>
      <c r="D34" s="23" t="s">
        <v>54</v>
      </c>
      <c r="E34" s="11">
        <v>45661</v>
      </c>
      <c r="F34" s="4">
        <v>15</v>
      </c>
      <c r="H34" s="23" t="s">
        <v>48</v>
      </c>
      <c r="I34" s="29">
        <f>SUMIF(TOMATE!D3:D244,"DRIPSOL MULTIPROPOSITO-18-18-18 25 K",TOMATE!F3:F244)</f>
        <v>79</v>
      </c>
      <c r="J34" s="62">
        <f>COMPRAS!M34</f>
        <v>10.56</v>
      </c>
      <c r="K34" s="10">
        <f t="shared" si="0"/>
        <v>834.24</v>
      </c>
      <c r="M34" s="8"/>
      <c r="N34" s="8"/>
      <c r="O34" s="9"/>
      <c r="P34" s="10"/>
      <c r="V34" s="12"/>
      <c r="W34" s="12"/>
    </row>
    <row r="35" spans="1:23" ht="15.6" x14ac:dyDescent="0.3">
      <c r="A35" s="14"/>
      <c r="D35" s="23" t="s">
        <v>53</v>
      </c>
      <c r="E35" s="11">
        <v>45663</v>
      </c>
      <c r="F35" s="4">
        <v>25</v>
      </c>
      <c r="H35" s="25" t="s">
        <v>56</v>
      </c>
      <c r="I35" s="29">
        <f>SUMIF(TOMATE!D3:D244,"DRIPSOL PRODUÇÃO 12-06-40 25K",TOMATE!F3:F244)</f>
        <v>0</v>
      </c>
      <c r="J35" s="62">
        <f>COMPRAS!M35</f>
        <v>11</v>
      </c>
      <c r="K35" s="10">
        <f t="shared" si="0"/>
        <v>0</v>
      </c>
      <c r="M35" s="8"/>
      <c r="N35" s="19" t="s">
        <v>5</v>
      </c>
      <c r="O35" s="22">
        <f>SUM(O3:O34)</f>
        <v>44</v>
      </c>
      <c r="P35" s="18"/>
      <c r="Q35" s="18">
        <f>SUM(Q3:Q34)</f>
        <v>3372.5</v>
      </c>
      <c r="T35" s="21" t="s">
        <v>5</v>
      </c>
      <c r="U35" s="21">
        <f>SUM(U3:U31)</f>
        <v>64.5</v>
      </c>
      <c r="V35" s="18"/>
      <c r="W35" s="18">
        <f>SUM(W3:W31)</f>
        <v>645</v>
      </c>
    </row>
    <row r="36" spans="1:23" ht="15.6" x14ac:dyDescent="0.3">
      <c r="A36" s="14"/>
      <c r="D36" s="23" t="s">
        <v>101</v>
      </c>
      <c r="E36" s="11">
        <v>45663</v>
      </c>
      <c r="F36" s="4">
        <v>1900</v>
      </c>
      <c r="H36" s="23" t="s">
        <v>22</v>
      </c>
      <c r="I36" s="29">
        <f>SUMIF(TOMATE!D3:D244,"ELEITTO",TOMATE!F3:F244)</f>
        <v>0</v>
      </c>
      <c r="J36" s="62">
        <f>COMPRAS!M36</f>
        <v>0.33</v>
      </c>
      <c r="K36" s="10">
        <f t="shared" si="0"/>
        <v>0</v>
      </c>
    </row>
    <row r="37" spans="1:23" ht="15.6" x14ac:dyDescent="0.3">
      <c r="A37" s="14"/>
      <c r="D37" s="23" t="s">
        <v>26</v>
      </c>
      <c r="E37" s="11">
        <v>45663</v>
      </c>
      <c r="F37" s="4">
        <v>1900</v>
      </c>
      <c r="H37" s="25" t="s">
        <v>37</v>
      </c>
      <c r="I37" s="29">
        <f>SUMIF(TOMATE!D3:D244,"FERTIUM LIQUIDO 5L",TOMATE!F3:F244)</f>
        <v>0</v>
      </c>
      <c r="J37" s="62">
        <f>COMPRAS!M37</f>
        <v>0.217</v>
      </c>
      <c r="K37" s="10">
        <f t="shared" si="0"/>
        <v>0</v>
      </c>
    </row>
    <row r="38" spans="1:23" ht="15.6" x14ac:dyDescent="0.3">
      <c r="A38" s="14"/>
      <c r="D38" s="25" t="s">
        <v>51</v>
      </c>
      <c r="E38" s="11">
        <v>45663</v>
      </c>
      <c r="F38" s="4">
        <v>0.95</v>
      </c>
      <c r="H38" s="25" t="s">
        <v>89</v>
      </c>
      <c r="I38" s="30">
        <f>SUMIF(TOMATE!D3:D244,"FITILHO VIRGEM NOVELO NR 08",TOMATE!F3:F244)</f>
        <v>0</v>
      </c>
      <c r="J38" s="62">
        <f>COMPRAS!M38</f>
        <v>40</v>
      </c>
      <c r="K38" s="10">
        <f t="shared" si="0"/>
        <v>0</v>
      </c>
      <c r="M38" s="89" t="s">
        <v>61</v>
      </c>
      <c r="N38" s="89"/>
      <c r="O38" s="89"/>
      <c r="P38" s="89"/>
      <c r="Q38" s="89"/>
      <c r="S38" s="89" t="s">
        <v>61</v>
      </c>
      <c r="T38" s="89"/>
      <c r="U38" s="89"/>
      <c r="V38" s="89"/>
      <c r="W38" s="89"/>
    </row>
    <row r="39" spans="1:23" ht="15.6" x14ac:dyDescent="0.3">
      <c r="A39" s="14"/>
      <c r="D39" s="23" t="s">
        <v>101</v>
      </c>
      <c r="E39" s="11">
        <v>45663</v>
      </c>
      <c r="F39" s="4">
        <v>100</v>
      </c>
      <c r="H39" s="63" t="s">
        <v>99</v>
      </c>
      <c r="I39" s="30">
        <f>SUMIF(TOMATE!D3:D244,"FRETE CAIXAS TOMATE ",TOMATE!F3:F244)</f>
        <v>0</v>
      </c>
      <c r="J39" s="62">
        <f>COMPRAS!M39</f>
        <v>2.3571428571428572</v>
      </c>
      <c r="K39" s="10">
        <f t="shared" si="0"/>
        <v>0</v>
      </c>
      <c r="M39" s="4" t="s">
        <v>59</v>
      </c>
      <c r="N39" s="12">
        <f>SUMIF(TOMATE!R1:R30,"R.FERNANDO",TOMATE!Q1:Q30)</f>
        <v>1817.5</v>
      </c>
      <c r="P39" s="12"/>
      <c r="Q39" s="12"/>
      <c r="S39" s="4" t="s">
        <v>59</v>
      </c>
      <c r="T39" s="12">
        <f>SUMIF(TOMATE!X1:X30,"R.FERNANDO",TOMATE!W1:W30)</f>
        <v>0</v>
      </c>
      <c r="V39" s="12"/>
      <c r="W39" s="12"/>
    </row>
    <row r="40" spans="1:23" ht="15.6" x14ac:dyDescent="0.3">
      <c r="A40" s="14"/>
      <c r="D40" s="25" t="s">
        <v>31</v>
      </c>
      <c r="E40" s="11">
        <v>45663</v>
      </c>
      <c r="F40" s="4">
        <v>80</v>
      </c>
      <c r="H40" s="23" t="s">
        <v>67</v>
      </c>
      <c r="I40" s="29">
        <f>SUMIF(TOMATE!D3:D244,"FTE 25K",TOMATE!F3:F244)</f>
        <v>0</v>
      </c>
      <c r="J40" s="62">
        <f>COMPRAS!M40</f>
        <v>4.4000000000000004</v>
      </c>
      <c r="K40" s="10">
        <f t="shared" si="0"/>
        <v>0</v>
      </c>
      <c r="M40" s="4" t="s">
        <v>60</v>
      </c>
      <c r="N40" s="12">
        <f>SUMIF(TOMATE!R1:R30,"R.RAFAEL",TOMATE!Q1:Q30)</f>
        <v>0</v>
      </c>
      <c r="P40" s="12"/>
      <c r="Q40" s="12"/>
      <c r="S40" s="4" t="s">
        <v>60</v>
      </c>
      <c r="T40" s="12">
        <f>SUMIF(TOMATE!X1:X30,"R.RAFAEL",TOMATE!W1:W30)</f>
        <v>0</v>
      </c>
      <c r="V40" s="12"/>
      <c r="W40" s="12"/>
    </row>
    <row r="41" spans="1:23" ht="15.6" x14ac:dyDescent="0.3">
      <c r="A41" s="14"/>
      <c r="D41" s="23" t="s">
        <v>107</v>
      </c>
      <c r="E41" s="11">
        <v>45663</v>
      </c>
      <c r="F41" s="4">
        <v>30</v>
      </c>
      <c r="H41" s="23" t="s">
        <v>101</v>
      </c>
      <c r="I41" s="29">
        <f>SUMIF(TOMATE!D3:D244,"FULVUMIM 5 LITROS",TOMATE!F3:F244)</f>
        <v>9400</v>
      </c>
      <c r="J41" s="62">
        <f>COMPRAS!M41</f>
        <v>2.5857142857142856E-2</v>
      </c>
      <c r="K41" s="10">
        <f t="shared" si="0"/>
        <v>243.05714285714285</v>
      </c>
      <c r="M41" s="4" t="s">
        <v>58</v>
      </c>
      <c r="N41" s="12">
        <f>SUMIF(TOMATE!R1:R30,"R.JEAN",TOMATE!Q1:Q30)</f>
        <v>80</v>
      </c>
      <c r="O41" s="12"/>
      <c r="P41" s="12"/>
      <c r="Q41" s="12"/>
      <c r="S41" s="4" t="s">
        <v>58</v>
      </c>
      <c r="T41" s="12">
        <f>SUMIF(TOMATE!X1:X30,"R.JEAN",TOMATE!W1:W30)</f>
        <v>0</v>
      </c>
      <c r="U41" s="12"/>
      <c r="V41" s="12"/>
      <c r="W41" s="12"/>
    </row>
    <row r="42" spans="1:23" ht="15.6" x14ac:dyDescent="0.3">
      <c r="A42" s="14"/>
      <c r="D42" s="25" t="s">
        <v>66</v>
      </c>
      <c r="E42" s="11">
        <v>45666</v>
      </c>
      <c r="F42" s="4">
        <v>40</v>
      </c>
      <c r="H42" s="23" t="s">
        <v>45</v>
      </c>
      <c r="I42" s="29">
        <f>SUMIF(TOMATE!D3:D244,"FYLLOTON 12X1 1 LITRO",TOMATE!F3:F244)</f>
        <v>1280</v>
      </c>
      <c r="J42" s="62">
        <f>COMPRAS!M42</f>
        <v>6.7222222222222225E-2</v>
      </c>
      <c r="K42" s="10">
        <f t="shared" si="0"/>
        <v>86.044444444444451</v>
      </c>
    </row>
    <row r="43" spans="1:23" ht="15.6" x14ac:dyDescent="0.3">
      <c r="A43" s="14"/>
      <c r="D43" s="25" t="s">
        <v>35</v>
      </c>
      <c r="E43" s="11">
        <v>45666</v>
      </c>
      <c r="F43" s="4">
        <v>20</v>
      </c>
      <c r="H43" s="25" t="s">
        <v>50</v>
      </c>
      <c r="I43" s="29">
        <f>SUMIF(TOMATE!D3:D244,"GLIBOR CA 5L",TOMATE!F3:F244)</f>
        <v>590</v>
      </c>
      <c r="J43" s="62">
        <f>COMPRAS!M43</f>
        <v>4.5999999999999999E-2</v>
      </c>
      <c r="K43" s="10">
        <f t="shared" si="0"/>
        <v>27.14</v>
      </c>
    </row>
    <row r="44" spans="1:23" ht="15.6" x14ac:dyDescent="0.3">
      <c r="A44" s="14"/>
      <c r="D44" s="23" t="s">
        <v>44</v>
      </c>
      <c r="E44" s="11">
        <v>45666</v>
      </c>
      <c r="F44" s="4">
        <v>2</v>
      </c>
      <c r="H44" s="39" t="s">
        <v>106</v>
      </c>
      <c r="I44" s="29">
        <f>SUMIF(TOMATE!D3:D244,"GLIMAN 30 4X5 KG",TOMATE!F3:F244)</f>
        <v>0</v>
      </c>
      <c r="J44" s="62">
        <f>COMPRAS!M44</f>
        <v>0.04</v>
      </c>
      <c r="K44" s="10">
        <f t="shared" si="0"/>
        <v>0</v>
      </c>
    </row>
    <row r="45" spans="1:23" ht="15.6" x14ac:dyDescent="0.3">
      <c r="A45" s="14"/>
      <c r="D45" s="25" t="s">
        <v>38</v>
      </c>
      <c r="E45" s="11">
        <v>45671</v>
      </c>
      <c r="F45" s="4">
        <v>80</v>
      </c>
      <c r="H45" s="25" t="s">
        <v>103</v>
      </c>
      <c r="I45" s="30">
        <f>SUMIF(TOMATE!D3:D244,"INTREPID240 SC -1 L",TOMATE!F3:F244)</f>
        <v>130</v>
      </c>
      <c r="J45" s="62">
        <f>COMPRAS!M45</f>
        <v>0.18</v>
      </c>
      <c r="K45" s="10">
        <f t="shared" si="0"/>
        <v>23.4</v>
      </c>
    </row>
    <row r="46" spans="1:23" ht="15.6" x14ac:dyDescent="0.3">
      <c r="A46" s="14"/>
      <c r="D46" s="25" t="s">
        <v>85</v>
      </c>
      <c r="E46" s="11">
        <v>45671</v>
      </c>
      <c r="F46" s="4">
        <v>20</v>
      </c>
      <c r="H46" s="23" t="s">
        <v>21</v>
      </c>
      <c r="I46" s="29">
        <f>SUMIF(TOMATE!D3:D244,"JOINER",TOMATE!F3:F244)</f>
        <v>0</v>
      </c>
      <c r="J46" s="62">
        <f>COMPRAS!M46</f>
        <v>2.2839999999999998</v>
      </c>
      <c r="K46" s="10">
        <f t="shared" si="0"/>
        <v>0</v>
      </c>
      <c r="M46" s="91" t="s">
        <v>71</v>
      </c>
      <c r="N46" s="91"/>
      <c r="O46" s="91"/>
      <c r="P46" s="91"/>
      <c r="Q46" s="91"/>
    </row>
    <row r="47" spans="1:23" ht="15.6" x14ac:dyDescent="0.3">
      <c r="A47" s="14"/>
      <c r="D47" s="23" t="s">
        <v>43</v>
      </c>
      <c r="E47" s="11">
        <v>45671</v>
      </c>
      <c r="F47" s="4">
        <v>80</v>
      </c>
      <c r="H47" s="63" t="s">
        <v>64</v>
      </c>
      <c r="I47" s="30">
        <f>SUMIF(TOMATE!D3:D244,"K BOMBER 56 8X2 5 KILOS ",TOMATE!F3:F244)</f>
        <v>300</v>
      </c>
      <c r="J47" s="62">
        <f>COMPRAS!M47</f>
        <v>2.4E-2</v>
      </c>
      <c r="K47" s="10">
        <f t="shared" si="0"/>
        <v>7.2</v>
      </c>
      <c r="M47" s="4" t="s">
        <v>59</v>
      </c>
      <c r="N47" s="12">
        <f>N39+T39</f>
        <v>1817.5</v>
      </c>
      <c r="P47" s="12"/>
      <c r="Q47" s="12"/>
    </row>
    <row r="48" spans="1:23" ht="15.6" x14ac:dyDescent="0.3">
      <c r="A48" s="14"/>
      <c r="D48" s="39" t="s">
        <v>112</v>
      </c>
      <c r="E48" s="11">
        <v>45674</v>
      </c>
      <c r="F48" s="4">
        <v>120</v>
      </c>
      <c r="H48" s="25" t="s">
        <v>84</v>
      </c>
      <c r="I48" s="30">
        <f>SUMIF(TOMATE!D3:D244,"KIT COSTAL AZR PLUS - EPI",TOMATE!F3:F244)</f>
        <v>0</v>
      </c>
      <c r="J48" s="62">
        <f>COMPRAS!M48</f>
        <v>110</v>
      </c>
      <c r="K48" s="10">
        <f t="shared" si="0"/>
        <v>0</v>
      </c>
      <c r="M48" s="4" t="s">
        <v>60</v>
      </c>
      <c r="N48" s="12">
        <f t="shared" ref="N48:N49" si="3">N40+T40</f>
        <v>0</v>
      </c>
      <c r="P48" s="12"/>
      <c r="Q48" s="12"/>
    </row>
    <row r="49" spans="1:17" ht="15.6" x14ac:dyDescent="0.3">
      <c r="A49" s="14"/>
      <c r="D49" s="25" t="s">
        <v>52</v>
      </c>
      <c r="E49" s="11">
        <v>45674</v>
      </c>
      <c r="F49" s="4">
        <v>60</v>
      </c>
      <c r="H49" s="39" t="s">
        <v>193</v>
      </c>
      <c r="I49" s="30">
        <f>SUMIF(TOMATE!D3:D244,"KLORPAN 480 CE -1 LITRO",TOMATE!F3:F244)</f>
        <v>0</v>
      </c>
      <c r="J49" s="62">
        <f>COMPRAS!M49</f>
        <v>3.7619047619047621E-2</v>
      </c>
      <c r="K49" s="10">
        <f t="shared" si="0"/>
        <v>0</v>
      </c>
      <c r="M49" s="4" t="s">
        <v>58</v>
      </c>
      <c r="N49" s="12">
        <f t="shared" si="3"/>
        <v>80</v>
      </c>
      <c r="P49" s="12"/>
      <c r="Q49" s="12"/>
    </row>
    <row r="50" spans="1:17" ht="15.6" x14ac:dyDescent="0.3">
      <c r="A50" s="14"/>
      <c r="D50" s="23" t="s">
        <v>48</v>
      </c>
      <c r="E50" s="11">
        <v>45675</v>
      </c>
      <c r="F50" s="4">
        <v>38</v>
      </c>
      <c r="H50" s="23" t="s">
        <v>95</v>
      </c>
      <c r="I50" s="30">
        <f>SUMIF(TOMATE!D3:D244,"LANNATE",TOMATE!F3:F244)</f>
        <v>0</v>
      </c>
      <c r="J50" s="62">
        <f>COMPRAS!M50</f>
        <v>0.05</v>
      </c>
      <c r="K50" s="10">
        <f t="shared" si="0"/>
        <v>0</v>
      </c>
    </row>
    <row r="51" spans="1:17" ht="15.6" x14ac:dyDescent="0.3">
      <c r="A51" s="14"/>
      <c r="D51" s="23" t="s">
        <v>101</v>
      </c>
      <c r="E51" s="11">
        <v>45675</v>
      </c>
      <c r="F51" s="4">
        <v>1850</v>
      </c>
      <c r="H51" s="40" t="s">
        <v>118</v>
      </c>
      <c r="I51" s="30">
        <f>SUMIF(TOMATE!D3:D244,"MASTER 20-20-20 25 KG",TOMATE!F3:F244)</f>
        <v>50</v>
      </c>
      <c r="J51" s="62">
        <f>COMPRAS!M51</f>
        <v>11.6</v>
      </c>
      <c r="K51" s="10">
        <f t="shared" si="0"/>
        <v>580</v>
      </c>
    </row>
    <row r="52" spans="1:17" ht="15.6" x14ac:dyDescent="0.3">
      <c r="A52" s="14"/>
      <c r="D52" s="23" t="s">
        <v>26</v>
      </c>
      <c r="E52" s="11">
        <v>45675</v>
      </c>
      <c r="F52" s="4">
        <v>1850</v>
      </c>
      <c r="H52" s="63" t="s">
        <v>63</v>
      </c>
      <c r="I52" s="29">
        <f>SUMIF(TOMATE!D3:D244,"MAXIHUN 5 L",TOMATE!F3:F244)</f>
        <v>0</v>
      </c>
      <c r="J52" s="62">
        <f>COMPRAS!M52</f>
        <v>2.3E-2</v>
      </c>
      <c r="K52" s="10">
        <f t="shared" si="0"/>
        <v>0</v>
      </c>
    </row>
    <row r="53" spans="1:17" ht="15.6" x14ac:dyDescent="0.3">
      <c r="A53" s="14"/>
      <c r="D53" s="25" t="s">
        <v>38</v>
      </c>
      <c r="E53" s="11">
        <v>45676</v>
      </c>
      <c r="F53" s="4">
        <v>120</v>
      </c>
      <c r="H53" s="83" t="s">
        <v>51</v>
      </c>
      <c r="I53" s="78">
        <f>SUMIF(TOMATE!D3:D244,"MICROCOMPLEX 1X25  25K",TOMATE!F3:F244)</f>
        <v>2.11</v>
      </c>
      <c r="J53" s="84">
        <f>COMPRAS!M53</f>
        <v>28</v>
      </c>
      <c r="K53" s="85">
        <f t="shared" si="0"/>
        <v>59.08</v>
      </c>
    </row>
    <row r="54" spans="1:17" ht="15.6" x14ac:dyDescent="0.3">
      <c r="A54" s="14"/>
      <c r="D54" s="23" t="s">
        <v>107</v>
      </c>
      <c r="E54" s="11">
        <v>45676</v>
      </c>
      <c r="F54" s="4">
        <v>90</v>
      </c>
      <c r="H54" s="25" t="s">
        <v>66</v>
      </c>
      <c r="I54" s="30">
        <f>SUMIF(TOMATE!D3:D244,"MINECTO PRO 12X1LT",TOMATE!F3:F244)</f>
        <v>155</v>
      </c>
      <c r="J54" s="62">
        <f>COMPRAS!M54</f>
        <v>0.23</v>
      </c>
      <c r="K54" s="10">
        <f t="shared" si="0"/>
        <v>35.65</v>
      </c>
    </row>
    <row r="55" spans="1:17" ht="15.6" x14ac:dyDescent="0.3">
      <c r="A55" s="14"/>
      <c r="D55" s="23" t="s">
        <v>45</v>
      </c>
      <c r="E55" s="11">
        <v>45676</v>
      </c>
      <c r="F55" s="4">
        <v>150</v>
      </c>
      <c r="H55" s="25" t="s">
        <v>52</v>
      </c>
      <c r="I55" s="29">
        <f>SUMIF(TOMATE!D3:D244,"MIRAVIS DUO 1 LITRO",TOMATE!F3:F244)</f>
        <v>60</v>
      </c>
      <c r="J55" s="62">
        <f>COMPRAS!M55</f>
        <v>0.26</v>
      </c>
      <c r="K55" s="10">
        <f t="shared" si="0"/>
        <v>15.600000000000001</v>
      </c>
    </row>
    <row r="56" spans="1:17" ht="15.6" x14ac:dyDescent="0.3">
      <c r="A56" s="14"/>
      <c r="D56" s="25" t="s">
        <v>31</v>
      </c>
      <c r="E56" s="11">
        <v>45680</v>
      </c>
      <c r="F56" s="4">
        <v>150</v>
      </c>
      <c r="H56" s="25" t="s">
        <v>69</v>
      </c>
      <c r="I56" s="30">
        <f>SUMIF(TOMATE!D3:D244,"MULTICARE 1L",TOMATE!F3:F244)</f>
        <v>0</v>
      </c>
      <c r="J56" s="62">
        <f>COMPRAS!M56</f>
        <v>5.1999999999999998E-2</v>
      </c>
      <c r="K56" s="10">
        <f t="shared" si="0"/>
        <v>0</v>
      </c>
    </row>
    <row r="57" spans="1:17" ht="15.6" x14ac:dyDescent="0.3">
      <c r="A57" s="14"/>
      <c r="D57" s="25" t="s">
        <v>50</v>
      </c>
      <c r="E57" s="11">
        <v>45680</v>
      </c>
      <c r="F57" s="4">
        <v>150</v>
      </c>
      <c r="H57" s="23" t="s">
        <v>53</v>
      </c>
      <c r="I57" s="29">
        <f>SUMIF(TOMATE!D3:D244,"N CALCIO CALCINIT YARA 15.5% 18CA 25K",TOMATE!F3:F244)</f>
        <v>179.5</v>
      </c>
      <c r="J57" s="62">
        <f>COMPRAS!M57</f>
        <v>3.3718518518518517</v>
      </c>
      <c r="K57" s="10">
        <f t="shared" si="0"/>
        <v>605.24740740740742</v>
      </c>
    </row>
    <row r="58" spans="1:17" ht="15.6" x14ac:dyDescent="0.3">
      <c r="A58" s="14"/>
      <c r="D58" s="23" t="s">
        <v>45</v>
      </c>
      <c r="E58" s="11">
        <v>45680</v>
      </c>
      <c r="F58" s="4">
        <v>180</v>
      </c>
      <c r="H58" s="39" t="s">
        <v>55</v>
      </c>
      <c r="I58" s="30">
        <f>SUMIF(TOMATE!D3:D244,"NITRATO DE POTASSIO 12% N 45% K2O 2%S 25 K",TOMATE!F3:F244)</f>
        <v>0</v>
      </c>
      <c r="J58" s="62">
        <f>COMPRAS!M58</f>
        <v>8</v>
      </c>
      <c r="K58" s="10">
        <f t="shared" si="0"/>
        <v>0</v>
      </c>
    </row>
    <row r="59" spans="1:17" ht="15.6" x14ac:dyDescent="0.3">
      <c r="A59" s="14"/>
      <c r="D59" s="24" t="s">
        <v>68</v>
      </c>
      <c r="E59" s="11">
        <v>45680</v>
      </c>
      <c r="F59" s="4">
        <v>120</v>
      </c>
      <c r="H59" s="25" t="s">
        <v>240</v>
      </c>
      <c r="I59" s="29">
        <f>SUMIF(TOMATE!D3:D244,"NITRATO POTASSIO YARA TERA K 13-00-43",TOMATE!F3:F244)</f>
        <v>61</v>
      </c>
      <c r="J59" s="62">
        <f>COMPRAS!M59</f>
        <v>8.5309090909090912</v>
      </c>
      <c r="K59" s="10">
        <f t="shared" si="0"/>
        <v>520.38545454545454</v>
      </c>
    </row>
    <row r="60" spans="1:17" ht="15.6" x14ac:dyDescent="0.3">
      <c r="A60" s="14"/>
      <c r="D60" s="25" t="s">
        <v>66</v>
      </c>
      <c r="E60" s="11">
        <v>45315</v>
      </c>
      <c r="F60" s="4">
        <v>75</v>
      </c>
      <c r="H60" s="23" t="s">
        <v>108</v>
      </c>
      <c r="I60" s="29">
        <f>SUMIF(TOMATE!D3:D244,"NITROCAM 12X1 LT",TOMATE!F3:F244)</f>
        <v>150</v>
      </c>
      <c r="J60" s="62">
        <f>COMPRAS!M60</f>
        <v>4.8000000000000001E-2</v>
      </c>
      <c r="K60" s="10">
        <f t="shared" si="0"/>
        <v>7.2</v>
      </c>
    </row>
    <row r="61" spans="1:17" ht="15.6" x14ac:dyDescent="0.3">
      <c r="A61" s="14"/>
      <c r="D61" s="25" t="s">
        <v>70</v>
      </c>
      <c r="E61" s="11">
        <v>45315</v>
      </c>
      <c r="F61" s="4">
        <v>120</v>
      </c>
      <c r="H61" s="39" t="s">
        <v>237</v>
      </c>
      <c r="I61" s="30">
        <f>SUMIF(TOMATE!D3:D244,"NPK",TOMATE!F3:F244)</f>
        <v>0</v>
      </c>
      <c r="J61" s="62">
        <f>COMPRAS!M61</f>
        <v>4.2</v>
      </c>
      <c r="K61" s="10">
        <f t="shared" si="0"/>
        <v>0</v>
      </c>
    </row>
    <row r="62" spans="1:17" ht="15.6" x14ac:dyDescent="0.3">
      <c r="A62" s="14"/>
      <c r="D62" s="17" t="s">
        <v>87</v>
      </c>
      <c r="E62" s="11">
        <v>45315</v>
      </c>
      <c r="F62" s="4">
        <v>45</v>
      </c>
      <c r="H62" s="25" t="s">
        <v>30</v>
      </c>
      <c r="I62" s="29">
        <f>SUMIF(TOMATE!D3:D244,"NUPRID",TOMATE!F3:F244)</f>
        <v>0</v>
      </c>
      <c r="J62" s="62">
        <f>COMPRAS!M62</f>
        <v>0</v>
      </c>
      <c r="K62" s="10"/>
    </row>
    <row r="63" spans="1:17" ht="15.6" x14ac:dyDescent="0.3">
      <c r="A63" s="14"/>
      <c r="D63" s="25" t="s">
        <v>88</v>
      </c>
      <c r="E63" s="11">
        <v>45315</v>
      </c>
      <c r="F63" s="4">
        <v>45</v>
      </c>
      <c r="H63" s="25" t="s">
        <v>31</v>
      </c>
      <c r="I63" s="29">
        <f>SUMIF(TOMATE!D3:D244,"NUTRIGEMMA B ZN 5 LITROS",TOMATE!F3:F244)</f>
        <v>500</v>
      </c>
      <c r="J63" s="62">
        <f>COMPRAS!M63</f>
        <v>6.8000000000000005E-2</v>
      </c>
      <c r="K63" s="10">
        <f>I63*J63</f>
        <v>34</v>
      </c>
    </row>
    <row r="64" spans="1:17" ht="15.6" x14ac:dyDescent="0.3">
      <c r="A64" s="14"/>
      <c r="D64" s="23" t="s">
        <v>53</v>
      </c>
      <c r="E64" s="11">
        <v>45687</v>
      </c>
      <c r="F64" s="4">
        <v>38</v>
      </c>
      <c r="H64" s="39" t="s">
        <v>114</v>
      </c>
      <c r="I64" s="30">
        <f>SUMIF(TOMATE!D3:D244,"NUTRISYSTEM INICIAL 42 06.30.06 25 K",TOMATE!F3:F244)</f>
        <v>522.59999999999991</v>
      </c>
      <c r="J64" s="62">
        <f>COMPRAS!M64</f>
        <v>4.5999999999999996</v>
      </c>
      <c r="K64" s="10">
        <f>I64*J64</f>
        <v>2403.9599999999996</v>
      </c>
    </row>
    <row r="65" spans="1:11" ht="15.6" x14ac:dyDescent="0.3">
      <c r="A65" s="14"/>
      <c r="D65" s="23" t="s">
        <v>101</v>
      </c>
      <c r="E65" s="11">
        <v>45687</v>
      </c>
      <c r="F65" s="4">
        <v>1800</v>
      </c>
      <c r="H65" s="39" t="s">
        <v>225</v>
      </c>
      <c r="I65" s="30">
        <f>SUMIF(TOMATE!D3:D244,"PADRON - 1 LITRO",TOMATE!F3:F244)</f>
        <v>0</v>
      </c>
      <c r="J65" s="62">
        <f>COMPRAS!M65</f>
        <v>0.09</v>
      </c>
      <c r="K65" s="10">
        <f t="shared" ref="K65:K89" si="4">I65*J65</f>
        <v>0</v>
      </c>
    </row>
    <row r="66" spans="1:11" ht="15.6" x14ac:dyDescent="0.3">
      <c r="A66" s="14"/>
      <c r="D66" s="23" t="s">
        <v>26</v>
      </c>
      <c r="E66" s="11">
        <v>45687</v>
      </c>
      <c r="F66" s="4">
        <v>1800</v>
      </c>
      <c r="H66" s="61" t="s">
        <v>227</v>
      </c>
      <c r="I66" s="30">
        <f>SUMIF(TOMATE!D3:D244,"PAGAMENTO FEITA DE MUDAS 2º PLANTIO",TOMATE!F3:F244)</f>
        <v>0</v>
      </c>
      <c r="J66" s="62">
        <f>COMPRAS!M66</f>
        <v>0.2</v>
      </c>
      <c r="K66" s="10">
        <f t="shared" si="4"/>
        <v>0</v>
      </c>
    </row>
    <row r="67" spans="1:11" ht="15.6" x14ac:dyDescent="0.3">
      <c r="A67" s="14"/>
      <c r="D67" s="81" t="s">
        <v>259</v>
      </c>
      <c r="E67" s="11">
        <v>45687</v>
      </c>
      <c r="F67" s="4">
        <v>700</v>
      </c>
      <c r="H67" s="23" t="s">
        <v>42</v>
      </c>
      <c r="I67" s="29">
        <f>SUMIF(TOMATE!D3:D244,"PHOSIFK CU4 1 LITRO",TOMATE!F3:F244)</f>
        <v>0</v>
      </c>
      <c r="J67" s="62">
        <f>COMPRAS!M67</f>
        <v>9.8000000000000004E-2</v>
      </c>
      <c r="K67" s="10">
        <f t="shared" si="4"/>
        <v>0</v>
      </c>
    </row>
    <row r="68" spans="1:11" ht="15.6" x14ac:dyDescent="0.3">
      <c r="A68" s="14"/>
      <c r="D68" s="25" t="s">
        <v>51</v>
      </c>
      <c r="E68" s="11">
        <v>45687</v>
      </c>
      <c r="F68" s="4">
        <v>1.1599999999999999</v>
      </c>
      <c r="H68" s="25" t="s">
        <v>38</v>
      </c>
      <c r="I68" s="29">
        <f>SUMIF(TOMATE!D3:D244,"PIRATE 1 LITRO",TOMATE!F3:F244)</f>
        <v>470</v>
      </c>
      <c r="J68" s="62">
        <f>COMPRAS!M68</f>
        <v>0.12166666666666667</v>
      </c>
      <c r="K68" s="10">
        <f t="shared" si="4"/>
        <v>57.183333333333337</v>
      </c>
    </row>
    <row r="69" spans="1:11" ht="15.6" x14ac:dyDescent="0.3">
      <c r="A69" s="14"/>
      <c r="D69" s="24" t="s">
        <v>68</v>
      </c>
      <c r="E69" s="11">
        <v>45687</v>
      </c>
      <c r="F69" s="4">
        <v>120</v>
      </c>
      <c r="H69" s="25" t="s">
        <v>90</v>
      </c>
      <c r="I69" s="29">
        <f>SUMIF(TOMATE!D3:D244,"PLATINUM NEO - GL 5 LITROS",TOMATE!F3:F244)</f>
        <v>112.5</v>
      </c>
      <c r="J69" s="62">
        <f>COMPRAS!M69</f>
        <v>0.17333333333333334</v>
      </c>
      <c r="K69" s="10">
        <f t="shared" si="4"/>
        <v>19.5</v>
      </c>
    </row>
    <row r="70" spans="1:11" ht="15.6" x14ac:dyDescent="0.3">
      <c r="A70" s="14"/>
      <c r="D70" s="25" t="s">
        <v>36</v>
      </c>
      <c r="E70" s="11">
        <v>45687</v>
      </c>
      <c r="F70" s="4">
        <v>90</v>
      </c>
      <c r="H70" s="23" t="s">
        <v>49</v>
      </c>
      <c r="I70" s="29">
        <f>SUMIF(TOMATE!D3:D244,"POQUER 4X5 LITROS",TOMATE!F3:F244)</f>
        <v>0</v>
      </c>
      <c r="J70" s="62">
        <f>COMPRAS!M70</f>
        <v>3.2599999999999997E-2</v>
      </c>
      <c r="K70" s="10">
        <f t="shared" si="4"/>
        <v>0</v>
      </c>
    </row>
    <row r="71" spans="1:11" ht="15.6" x14ac:dyDescent="0.3">
      <c r="A71" s="14"/>
      <c r="D71" s="23" t="s">
        <v>45</v>
      </c>
      <c r="E71" s="11">
        <v>45687</v>
      </c>
      <c r="F71" s="4">
        <v>150</v>
      </c>
      <c r="H71" s="39" t="s">
        <v>113</v>
      </c>
      <c r="I71" s="30">
        <f>SUMIF(TOMATE!D3:D244,"PRIMOLEO 1X20LT",TOMATE!F3:F244)</f>
        <v>0</v>
      </c>
      <c r="J71" s="62">
        <f>COMPRAS!M71</f>
        <v>2.3E-2</v>
      </c>
      <c r="K71" s="10">
        <f t="shared" si="4"/>
        <v>0</v>
      </c>
    </row>
    <row r="72" spans="1:11" ht="15.6" x14ac:dyDescent="0.3">
      <c r="A72" s="14"/>
      <c r="D72" s="25" t="s">
        <v>50</v>
      </c>
      <c r="E72" s="11">
        <v>45687</v>
      </c>
      <c r="F72" s="4">
        <v>120</v>
      </c>
      <c r="H72" s="25" t="s">
        <v>36</v>
      </c>
      <c r="I72" s="29">
        <f>SUMIF(TOMATE!D3:D244,"PRIVILEGE 1L",TOMATE!F3:F244)</f>
        <v>360</v>
      </c>
      <c r="J72" s="62">
        <f>COMPRAS!M72</f>
        <v>0.16</v>
      </c>
      <c r="K72" s="10">
        <f t="shared" si="4"/>
        <v>57.6</v>
      </c>
    </row>
    <row r="73" spans="1:11" ht="15.6" x14ac:dyDescent="0.3">
      <c r="A73" s="14"/>
      <c r="D73" s="23" t="s">
        <v>45</v>
      </c>
      <c r="E73" s="11">
        <v>45693</v>
      </c>
      <c r="F73" s="4">
        <v>120</v>
      </c>
      <c r="H73" s="39" t="s">
        <v>206</v>
      </c>
      <c r="I73" s="30">
        <f>SUMIF(TOMATE!D3:D244,"PROGIBB 400 - PCT 2,5 GR",TOMATE!F3:F244)</f>
        <v>0</v>
      </c>
      <c r="J73" s="62">
        <f>COMPRAS!M73</f>
        <v>6</v>
      </c>
      <c r="K73" s="10">
        <f t="shared" si="4"/>
        <v>0</v>
      </c>
    </row>
    <row r="74" spans="1:11" ht="15.6" x14ac:dyDescent="0.3">
      <c r="A74" s="14"/>
      <c r="D74" s="23" t="s">
        <v>107</v>
      </c>
      <c r="E74" s="11">
        <v>45693</v>
      </c>
      <c r="F74" s="4">
        <v>90</v>
      </c>
      <c r="H74" s="23" t="s">
        <v>46</v>
      </c>
      <c r="I74" s="29">
        <f>SUMIF(TOMATE!D3:D244,"PROTAMIN 25K",TOMATE!F3:F244)</f>
        <v>0</v>
      </c>
      <c r="J74" s="62">
        <f>COMPRAS!M74</f>
        <v>4.9000000000000004</v>
      </c>
      <c r="K74" s="10">
        <f t="shared" si="4"/>
        <v>0</v>
      </c>
    </row>
    <row r="75" spans="1:11" ht="15.6" x14ac:dyDescent="0.3">
      <c r="A75" s="14"/>
      <c r="D75" s="25" t="s">
        <v>31</v>
      </c>
      <c r="E75" s="11">
        <v>45693</v>
      </c>
      <c r="F75" s="4">
        <v>90</v>
      </c>
      <c r="H75" s="8" t="s">
        <v>198</v>
      </c>
      <c r="I75" s="30">
        <f>SUMIF(TOMATE!D3:D244,"QUIMIFOL CALCIO E BORO II- BD 20 L",TOMATE!F3:F244)</f>
        <v>0</v>
      </c>
      <c r="J75" s="62">
        <f>COMPRAS!M75</f>
        <v>2.35E-2</v>
      </c>
      <c r="K75" s="10">
        <f t="shared" si="4"/>
        <v>0</v>
      </c>
    </row>
    <row r="76" spans="1:11" ht="15.6" x14ac:dyDescent="0.3">
      <c r="A76" s="14"/>
      <c r="D76" s="23" t="s">
        <v>53</v>
      </c>
      <c r="E76" s="11">
        <v>45697</v>
      </c>
      <c r="F76" s="4">
        <v>54</v>
      </c>
      <c r="H76" s="63" t="s">
        <v>187</v>
      </c>
      <c r="I76" s="29">
        <f>SUMIF(TOMATE!D3:D244,"QUIMIFOL IMPACTO - 1 LITRO",TOMATE!F3:F244)</f>
        <v>0</v>
      </c>
      <c r="J76" s="62">
        <f>COMPRAS!M76</f>
        <v>0.22</v>
      </c>
      <c r="K76" s="10">
        <f t="shared" si="4"/>
        <v>0</v>
      </c>
    </row>
    <row r="77" spans="1:11" ht="15.6" x14ac:dyDescent="0.3">
      <c r="A77" s="14"/>
      <c r="D77" s="4" t="s">
        <v>260</v>
      </c>
      <c r="E77" s="11">
        <v>45697</v>
      </c>
      <c r="F77" s="4">
        <v>6.7</v>
      </c>
      <c r="H77" s="39" t="s">
        <v>182</v>
      </c>
      <c r="I77" s="30">
        <f>SUMIF(TOMATE!D3:D244,"QUIMIFOL P30W- GL 5 LITROS",TOMATE!F3:F244)</f>
        <v>0</v>
      </c>
      <c r="J77" s="62">
        <f>COMPRAS!M77</f>
        <v>3.5999999999999997E-2</v>
      </c>
      <c r="K77" s="10">
        <f t="shared" si="4"/>
        <v>0</v>
      </c>
    </row>
    <row r="78" spans="1:11" ht="15.6" x14ac:dyDescent="0.3">
      <c r="A78" s="14"/>
      <c r="D78" s="25" t="s">
        <v>240</v>
      </c>
      <c r="E78" s="11">
        <v>45697</v>
      </c>
      <c r="F78" s="4">
        <v>11</v>
      </c>
      <c r="H78" s="25" t="s">
        <v>83</v>
      </c>
      <c r="I78" s="30">
        <f>SUMIF(TOMATE!D3:D244,"QUIMIFOL PERSIST- 1 LITRO",TOMATE!F3:F244)</f>
        <v>0</v>
      </c>
      <c r="J78" s="62">
        <f>COMPRAS!M78</f>
        <v>3.6666666666666667E-2</v>
      </c>
      <c r="K78" s="10">
        <f t="shared" si="4"/>
        <v>0</v>
      </c>
    </row>
    <row r="79" spans="1:11" ht="15.6" x14ac:dyDescent="0.3">
      <c r="A79" s="14"/>
      <c r="D79" s="23" t="s">
        <v>72</v>
      </c>
      <c r="E79" s="11">
        <v>45697</v>
      </c>
      <c r="F79" s="4">
        <v>1.8</v>
      </c>
      <c r="H79" s="39" t="s">
        <v>183</v>
      </c>
      <c r="I79" s="30">
        <f>SUMIF(TOMATE!D3:D244,"QUIMIFOL PHFOS - 1 LITRO",TOMATE!F3:F244)</f>
        <v>0</v>
      </c>
      <c r="J79" s="62">
        <f>COMPRAS!M79</f>
        <v>0.06</v>
      </c>
      <c r="K79" s="10">
        <f t="shared" si="4"/>
        <v>0</v>
      </c>
    </row>
    <row r="80" spans="1:11" ht="15.6" x14ac:dyDescent="0.3">
      <c r="A80" s="14"/>
      <c r="D80" s="23" t="s">
        <v>45</v>
      </c>
      <c r="E80" s="11">
        <v>45697</v>
      </c>
      <c r="F80" s="4">
        <v>150</v>
      </c>
      <c r="H80" s="39" t="s">
        <v>191</v>
      </c>
      <c r="I80" s="30">
        <f>SUMIF(TOMATE!D3:D244,"QUIMIFOL S450 - GL 5 LITROS",TOMATE!F3:F244)</f>
        <v>0</v>
      </c>
      <c r="J80" s="62">
        <f>COMPRAS!M80</f>
        <v>4.2000000000000003E-2</v>
      </c>
      <c r="K80" s="10">
        <f t="shared" si="4"/>
        <v>0</v>
      </c>
    </row>
    <row r="81" spans="1:11" ht="15.6" x14ac:dyDescent="0.3">
      <c r="A81" s="14"/>
      <c r="D81" s="23" t="s">
        <v>107</v>
      </c>
      <c r="E81" s="11">
        <v>45697</v>
      </c>
      <c r="F81" s="4">
        <v>90</v>
      </c>
      <c r="H81" s="25" t="s">
        <v>82</v>
      </c>
      <c r="I81" s="30">
        <f>SUMIF(TOMATE!D3:D244,"QUIMIORGEN 20 N - GL DE 5 LITROS",TOMATE!F3:F244)</f>
        <v>0</v>
      </c>
      <c r="J81" s="62">
        <f>COMPRAS!M81</f>
        <v>2.1999999999999999E-2</v>
      </c>
      <c r="K81" s="10">
        <f t="shared" si="4"/>
        <v>0</v>
      </c>
    </row>
    <row r="82" spans="1:11" ht="15.6" x14ac:dyDescent="0.3">
      <c r="A82" s="14"/>
      <c r="D82" s="25" t="s">
        <v>38</v>
      </c>
      <c r="E82" s="11">
        <v>45697</v>
      </c>
      <c r="F82" s="4">
        <v>90</v>
      </c>
      <c r="H82" s="39" t="s">
        <v>190</v>
      </c>
      <c r="I82" s="30">
        <f>SUMIF(TOMATE!D3:D244,"RAPEL PCT- 3 KG",TOMATE!F3:F244)</f>
        <v>0</v>
      </c>
      <c r="J82" s="62">
        <f>COMPRAS!M82</f>
        <v>5.6666666666666664E-2</v>
      </c>
      <c r="K82" s="10">
        <f t="shared" si="4"/>
        <v>0</v>
      </c>
    </row>
    <row r="83" spans="1:11" ht="15.6" x14ac:dyDescent="0.3">
      <c r="A83" s="14"/>
      <c r="D83" s="25" t="s">
        <v>36</v>
      </c>
      <c r="E83" s="11">
        <v>45697</v>
      </c>
      <c r="F83" s="4">
        <v>120</v>
      </c>
      <c r="H83" s="23" t="s">
        <v>26</v>
      </c>
      <c r="I83" s="29">
        <f>SUMIF(TOMATE!D3:D244,"RESTORER 5 LITROS",TOMATE!F3:F244)</f>
        <v>7590</v>
      </c>
      <c r="J83" s="62">
        <f>COMPRAS!M83</f>
        <v>3.3111111111111112E-2</v>
      </c>
      <c r="K83" s="10">
        <f t="shared" si="4"/>
        <v>251.31333333333333</v>
      </c>
    </row>
    <row r="84" spans="1:11" ht="15.6" x14ac:dyDescent="0.3">
      <c r="D84" s="61" t="s">
        <v>185</v>
      </c>
      <c r="E84" s="14">
        <v>45700</v>
      </c>
      <c r="F84" s="4">
        <v>90</v>
      </c>
      <c r="H84" s="23" t="s">
        <v>43</v>
      </c>
      <c r="I84" s="29">
        <f>SUMIF(TOMATE!D3:D244,"RIDOMIL GOLD BRAVO 1 LITRO",TOMATE!F3:F244)</f>
        <v>102.5</v>
      </c>
      <c r="J84" s="62">
        <f>COMPRAS!M84</f>
        <v>0.12</v>
      </c>
      <c r="K84" s="10">
        <f t="shared" si="4"/>
        <v>12.299999999999999</v>
      </c>
    </row>
    <row r="85" spans="1:11" ht="15.6" x14ac:dyDescent="0.3">
      <c r="D85" s="25" t="s">
        <v>86</v>
      </c>
      <c r="E85" s="14">
        <v>45700</v>
      </c>
      <c r="F85" s="4">
        <v>9</v>
      </c>
      <c r="H85" s="25" t="s">
        <v>57</v>
      </c>
      <c r="I85" s="29">
        <f>SUMIF(TOMATE!D3:D244,"RIDOMIL GOLD MZ 680 WG 12X1 1 KG",TOMATE!F3:F244)</f>
        <v>160</v>
      </c>
      <c r="J85" s="62">
        <f>COMPRAS!M85</f>
        <v>0.156</v>
      </c>
      <c r="K85" s="10">
        <f t="shared" si="4"/>
        <v>24.96</v>
      </c>
    </row>
    <row r="86" spans="1:11" ht="15.6" x14ac:dyDescent="0.3">
      <c r="D86" s="25" t="s">
        <v>70</v>
      </c>
      <c r="E86" s="14">
        <v>45700</v>
      </c>
      <c r="F86" s="4">
        <v>120</v>
      </c>
      <c r="H86" s="25" t="s">
        <v>65</v>
      </c>
      <c r="I86" s="30">
        <f>SUMIF(TOMATE!D3:D244,"RIZAMMINA 42 OS 8X2 5 KILOS",TOMATE!F3:F244)</f>
        <v>300</v>
      </c>
      <c r="J86" s="62">
        <f>COMPRAS!M86</f>
        <v>3.4000000000000002E-2</v>
      </c>
      <c r="K86" s="10">
        <f t="shared" si="4"/>
        <v>10.200000000000001</v>
      </c>
    </row>
    <row r="87" spans="1:11" ht="15.6" x14ac:dyDescent="0.3">
      <c r="D87" s="17" t="s">
        <v>87</v>
      </c>
      <c r="E87" s="14">
        <v>45700</v>
      </c>
      <c r="F87" s="4">
        <v>45</v>
      </c>
      <c r="H87" s="39" t="s">
        <v>102</v>
      </c>
      <c r="I87" s="30">
        <f>SUMIF(TOMATE!D3:D244,"ROUNDUP ORIGINAL MAIS - GL DE 5 L",TOMATE!F3:F244)</f>
        <v>0</v>
      </c>
      <c r="J87" s="62">
        <f>COMPRAS!M87</f>
        <v>3.875E-2</v>
      </c>
      <c r="K87" s="10">
        <f t="shared" si="4"/>
        <v>0</v>
      </c>
    </row>
    <row r="88" spans="1:11" ht="15.6" x14ac:dyDescent="0.3">
      <c r="D88" s="25" t="s">
        <v>88</v>
      </c>
      <c r="E88" s="14">
        <v>45700</v>
      </c>
      <c r="F88" s="4">
        <v>45</v>
      </c>
      <c r="H88" s="39" t="s">
        <v>196</v>
      </c>
      <c r="I88" s="30">
        <f>SUMIF(TOMATE!D3:D244,"SCORE 250 EC - 1 LITRO",TOMATE!F3:F244)</f>
        <v>0</v>
      </c>
      <c r="J88" s="62">
        <f>COMPRAS!M88</f>
        <v>9.5000000000000001E-2</v>
      </c>
      <c r="K88" s="10">
        <f t="shared" si="4"/>
        <v>0</v>
      </c>
    </row>
    <row r="89" spans="1:11" ht="15.6" x14ac:dyDescent="0.3">
      <c r="D89" s="23" t="s">
        <v>45</v>
      </c>
      <c r="E89" s="14">
        <v>45701</v>
      </c>
      <c r="F89" s="4">
        <v>150</v>
      </c>
      <c r="H89" s="23" t="s">
        <v>234</v>
      </c>
      <c r="I89" s="30">
        <f>SUMIF(TOMATE!D3:D244,"SEMENTE DE MILHO BIOMATRIX 3066",TOMATE!F3:F244)</f>
        <v>0</v>
      </c>
      <c r="J89" s="62">
        <f>COMPRAS!M89</f>
        <v>67.5</v>
      </c>
      <c r="K89" s="10">
        <f t="shared" si="4"/>
        <v>0</v>
      </c>
    </row>
    <row r="90" spans="1:11" ht="15.6" x14ac:dyDescent="0.3">
      <c r="D90" s="25" t="s">
        <v>31</v>
      </c>
      <c r="E90" s="14">
        <v>45701</v>
      </c>
      <c r="F90" s="4">
        <v>90</v>
      </c>
      <c r="H90" s="25" t="s">
        <v>97</v>
      </c>
      <c r="I90" s="29">
        <f>SUMIF(TOMATE!D3:D244,"SEMENTE MELANCIA",TOMATE!F3:F244)</f>
        <v>0</v>
      </c>
      <c r="J90" s="62">
        <f>COMPRAS!M90</f>
        <v>0</v>
      </c>
      <c r="K90" s="10"/>
    </row>
    <row r="91" spans="1:11" ht="15.6" x14ac:dyDescent="0.3">
      <c r="D91" s="25" t="s">
        <v>50</v>
      </c>
      <c r="E91" s="14">
        <v>45701</v>
      </c>
      <c r="F91" s="4">
        <v>90</v>
      </c>
      <c r="H91" s="39" t="s">
        <v>186</v>
      </c>
      <c r="I91" s="30">
        <f>SUMIF(TOMATE!D3:D244,"SEMENTE MELANCIA CRIMSON SELE",TOMATE!F3:F244)</f>
        <v>0</v>
      </c>
      <c r="J91" s="62">
        <f>COMPRAS!M91</f>
        <v>0.28999999999999998</v>
      </c>
      <c r="K91" s="10">
        <f t="shared" ref="K91:K107" si="5">I91*J91</f>
        <v>0</v>
      </c>
    </row>
    <row r="92" spans="1:11" ht="15.6" x14ac:dyDescent="0.3">
      <c r="D92" s="23" t="s">
        <v>107</v>
      </c>
      <c r="E92" s="14">
        <v>45701</v>
      </c>
      <c r="F92" s="4">
        <v>90</v>
      </c>
      <c r="H92" s="39" t="s">
        <v>119</v>
      </c>
      <c r="I92" s="30">
        <f>SUMIF(TOMATE!D3:D244,"SEMENTE MELANCIA H MANCHESTER",TOMATE!F3:F244)</f>
        <v>0</v>
      </c>
      <c r="J92" s="62">
        <f>COMPRAS!M92</f>
        <v>0.43</v>
      </c>
      <c r="K92" s="10">
        <f t="shared" si="5"/>
        <v>0</v>
      </c>
    </row>
    <row r="93" spans="1:11" ht="15.6" x14ac:dyDescent="0.3">
      <c r="D93" s="23" t="s">
        <v>53</v>
      </c>
      <c r="E93" s="14">
        <v>45702</v>
      </c>
      <c r="F93" s="4">
        <v>25</v>
      </c>
      <c r="H93" s="39" t="s">
        <v>105</v>
      </c>
      <c r="I93" s="30">
        <f>SUMIF(TOMATE!D3:D244,"SEMENTE MILHO HIB FEROZ SYN8A98 TL TG FORT VIP TURBO",TOMATE!F3:F244)</f>
        <v>0</v>
      </c>
      <c r="J93" s="62">
        <f>COMPRAS!M93</f>
        <v>0.55000000000000004</v>
      </c>
      <c r="K93" s="10">
        <f t="shared" si="5"/>
        <v>0</v>
      </c>
    </row>
    <row r="94" spans="1:11" ht="15.6" x14ac:dyDescent="0.3">
      <c r="D94" s="25" t="s">
        <v>240</v>
      </c>
      <c r="E94" s="14">
        <v>45702</v>
      </c>
      <c r="F94" s="4">
        <v>25</v>
      </c>
      <c r="H94" s="39" t="s">
        <v>104</v>
      </c>
      <c r="I94" s="30">
        <f>SUMIF(TOMATE!D3:D244,"SEMENTE MILHO HIB FEROZ SYN8A98 TL TG VIP FORTENZA",TOMATE!F3:F244)</f>
        <v>0</v>
      </c>
      <c r="J94" s="62">
        <f>COMPRAS!M94</f>
        <v>0.5</v>
      </c>
      <c r="K94" s="10">
        <f t="shared" si="5"/>
        <v>0</v>
      </c>
    </row>
    <row r="95" spans="1:11" ht="15.6" x14ac:dyDescent="0.3">
      <c r="D95" s="23" t="s">
        <v>72</v>
      </c>
      <c r="E95" s="14">
        <v>45702</v>
      </c>
      <c r="F95" s="4">
        <v>1.58</v>
      </c>
      <c r="H95" s="23" t="s">
        <v>96</v>
      </c>
      <c r="I95" s="29">
        <f>SUMIF(TOMATE!D3:D244,"SEMENTE TOMATE ",TOMATE!F3:F244)</f>
        <v>0</v>
      </c>
      <c r="J95" s="62">
        <f>COMPRAS!M95</f>
        <v>0.54</v>
      </c>
      <c r="K95" s="10">
        <f t="shared" si="5"/>
        <v>0</v>
      </c>
    </row>
    <row r="96" spans="1:11" ht="15.6" x14ac:dyDescent="0.3">
      <c r="D96" s="4" t="s">
        <v>38</v>
      </c>
      <c r="E96" s="14">
        <v>45703</v>
      </c>
      <c r="F96" s="4">
        <v>120</v>
      </c>
      <c r="H96" s="41" t="s">
        <v>146</v>
      </c>
      <c r="I96" s="30">
        <f>SUMIF(TOMATE!D3:D244,"SEMENTE TOMATE COLT 1000 SEMENTES",TOMATE!F3:F244)</f>
        <v>0</v>
      </c>
      <c r="J96" s="62">
        <f>COMPRAS!M96</f>
        <v>0.56999999999999995</v>
      </c>
      <c r="K96" s="10">
        <f t="shared" si="5"/>
        <v>0</v>
      </c>
    </row>
    <row r="97" spans="1:11" ht="15.6" x14ac:dyDescent="0.3">
      <c r="D97" s="25" t="s">
        <v>36</v>
      </c>
      <c r="E97" s="14">
        <v>45703</v>
      </c>
      <c r="F97" s="4">
        <v>90</v>
      </c>
      <c r="H97" s="39" t="s">
        <v>223</v>
      </c>
      <c r="I97" s="30">
        <f>SUMIF(TOMATE!D3:D244,"SENCOR 480 SC- 1 LITRO",TOMATE!F3:F244)</f>
        <v>240</v>
      </c>
      <c r="J97" s="62">
        <f>COMPRAS!M97</f>
        <v>0.14000000000000001</v>
      </c>
      <c r="K97" s="10">
        <f t="shared" si="5"/>
        <v>33.6</v>
      </c>
    </row>
    <row r="98" spans="1:11" ht="15.6" x14ac:dyDescent="0.3">
      <c r="D98" s="23" t="s">
        <v>108</v>
      </c>
      <c r="E98" s="14">
        <v>45703</v>
      </c>
      <c r="F98" s="4">
        <v>150</v>
      </c>
      <c r="H98" s="23" t="s">
        <v>107</v>
      </c>
      <c r="I98" s="29">
        <f>SUMIF(TOMATE!D3:D244,"SPRAY DUNGER 20X1KG",TOMATE!F3:F244)</f>
        <v>480</v>
      </c>
      <c r="J98" s="62">
        <f>COMPRAS!M98</f>
        <v>0.08</v>
      </c>
      <c r="K98" s="10">
        <f t="shared" si="5"/>
        <v>38.4</v>
      </c>
    </row>
    <row r="99" spans="1:11" ht="15.6" x14ac:dyDescent="0.3">
      <c r="D99" s="23" t="s">
        <v>195</v>
      </c>
      <c r="E99" s="14">
        <v>45703</v>
      </c>
      <c r="F99" s="4">
        <v>90</v>
      </c>
      <c r="H99" s="39" t="s">
        <v>111</v>
      </c>
      <c r="I99" s="30">
        <f>SUMIF(TOMATE!D3:D244,"SPRINT ALGA TS 12X1LT",TOMATE!F3:F244)</f>
        <v>21</v>
      </c>
      <c r="J99" s="62">
        <f>COMPRAS!M99</f>
        <v>0.2</v>
      </c>
      <c r="K99" s="10">
        <f t="shared" si="5"/>
        <v>4.2</v>
      </c>
    </row>
    <row r="100" spans="1:11" ht="15.6" x14ac:dyDescent="0.3">
      <c r="D100" s="23" t="s">
        <v>48</v>
      </c>
      <c r="E100" s="14">
        <v>45706</v>
      </c>
      <c r="F100" s="4">
        <v>4</v>
      </c>
      <c r="H100" s="39" t="s">
        <v>236</v>
      </c>
      <c r="I100" s="30">
        <f>SUMIF(TOMATE!D3:D244,"SUFATO DE AMONIO",TOMATE!F3:F244)</f>
        <v>0</v>
      </c>
      <c r="J100" s="62">
        <f>COMPRAS!M100</f>
        <v>2.4</v>
      </c>
      <c r="K100" s="10">
        <f t="shared" si="5"/>
        <v>0</v>
      </c>
    </row>
    <row r="101" spans="1:11" ht="15.6" x14ac:dyDescent="0.3">
      <c r="A101" s="21" t="s">
        <v>5</v>
      </c>
      <c r="B101" s="22">
        <f>SUM(B3:B100)</f>
        <v>0</v>
      </c>
      <c r="D101" s="40" t="s">
        <v>118</v>
      </c>
      <c r="E101" s="14">
        <v>45706</v>
      </c>
      <c r="F101" s="4">
        <v>50</v>
      </c>
      <c r="H101" s="82" t="s">
        <v>54</v>
      </c>
      <c r="I101" s="29">
        <f>SUMIF(TOMATE!D3:D244,"SULFATO DE MAGNESIO-KRISTA MGS 25K",TOMATE!F3:F244)</f>
        <v>15</v>
      </c>
      <c r="J101" s="62">
        <f>COMPRAS!M101</f>
        <v>3.1933333333333334</v>
      </c>
      <c r="K101" s="10">
        <f t="shared" si="5"/>
        <v>47.9</v>
      </c>
    </row>
    <row r="102" spans="1:11" ht="15.6" x14ac:dyDescent="0.3">
      <c r="A102" s="88" t="s">
        <v>7</v>
      </c>
      <c r="B102" s="88"/>
      <c r="D102" s="4" t="s">
        <v>45</v>
      </c>
      <c r="E102" s="14">
        <v>45706</v>
      </c>
      <c r="F102" s="4">
        <v>150</v>
      </c>
      <c r="H102" s="39" t="s">
        <v>112</v>
      </c>
      <c r="I102" s="30">
        <f>SUMIF(TOMATE!D3:D244,"TIMOREX GOLD 12X1 LT",TOMATE!F3:F244)</f>
        <v>120</v>
      </c>
      <c r="J102" s="62">
        <f>COMPRAS!M102</f>
        <v>0.14499999999999999</v>
      </c>
      <c r="K102" s="10">
        <f t="shared" si="5"/>
        <v>17.399999999999999</v>
      </c>
    </row>
    <row r="103" spans="1:11" ht="15.6" x14ac:dyDescent="0.3">
      <c r="A103" s="4" t="s">
        <v>9</v>
      </c>
      <c r="B103" s="4">
        <f>B101</f>
        <v>0</v>
      </c>
      <c r="D103" s="25" t="s">
        <v>31</v>
      </c>
      <c r="E103" s="14">
        <v>45706</v>
      </c>
      <c r="F103" s="4">
        <v>90</v>
      </c>
      <c r="H103" s="23" t="s">
        <v>25</v>
      </c>
      <c r="I103" s="29">
        <f>SUMIF(TOMATE!D3:D244,"TOPMIX 03-28-00 YARA 50K",TOMATE!F3:F244)</f>
        <v>0</v>
      </c>
      <c r="J103" s="62">
        <f>COMPRAS!M103</f>
        <v>6.8</v>
      </c>
      <c r="K103" s="10">
        <f t="shared" si="5"/>
        <v>0</v>
      </c>
    </row>
    <row r="104" spans="1:11" ht="15.6" x14ac:dyDescent="0.3">
      <c r="A104" s="4" t="s">
        <v>10</v>
      </c>
      <c r="B104" s="4">
        <f>B103/60</f>
        <v>0</v>
      </c>
      <c r="D104" s="25" t="s">
        <v>50</v>
      </c>
      <c r="E104" s="14">
        <v>45706</v>
      </c>
      <c r="F104" s="4">
        <v>150</v>
      </c>
      <c r="H104" s="25" t="s">
        <v>81</v>
      </c>
      <c r="I104" s="30">
        <f>SUMIF(TOMATE!D3:D244,"TORDONULTRA-S - BD 20 LITROS",TOMATE!F3:F244)</f>
        <v>0</v>
      </c>
      <c r="J104" s="62">
        <f>COMPRAS!M104</f>
        <v>5.5E-2</v>
      </c>
      <c r="K104" s="10">
        <f t="shared" si="5"/>
        <v>0</v>
      </c>
    </row>
    <row r="105" spans="1:11" ht="15.6" x14ac:dyDescent="0.3">
      <c r="A105" s="4" t="s">
        <v>11</v>
      </c>
      <c r="B105" s="4">
        <f>B104*8</f>
        <v>0</v>
      </c>
      <c r="D105" s="23" t="s">
        <v>107</v>
      </c>
      <c r="E105" s="14">
        <v>45706</v>
      </c>
      <c r="F105" s="4">
        <v>90</v>
      </c>
      <c r="H105" s="25" t="s">
        <v>86</v>
      </c>
      <c r="I105" s="30">
        <f>SUMIF(TOMATE!D3:D244,"TRIGARD 750 PM - PCT 15 GR",TOMATE!F3:F244)</f>
        <v>18</v>
      </c>
      <c r="J105" s="62">
        <f>COMPRAS!M105</f>
        <v>2.6666666666666665</v>
      </c>
      <c r="K105" s="10">
        <f t="shared" si="5"/>
        <v>48</v>
      </c>
    </row>
    <row r="106" spans="1:11" x14ac:dyDescent="0.3">
      <c r="A106" s="18" t="s">
        <v>18</v>
      </c>
      <c r="B106" s="18">
        <f>B105*0.9</f>
        <v>0</v>
      </c>
      <c r="D106" s="63" t="s">
        <v>64</v>
      </c>
      <c r="E106" s="14">
        <v>45707</v>
      </c>
      <c r="F106" s="4">
        <v>150</v>
      </c>
      <c r="H106" s="8" t="s">
        <v>238</v>
      </c>
      <c r="I106" s="30">
        <f>SUMIF(TOMATE!D3:D244,"UREIA ",TOMATE!F3:F244)</f>
        <v>0</v>
      </c>
      <c r="J106" s="62">
        <f>COMPRAS!M106</f>
        <v>3.8</v>
      </c>
      <c r="K106" s="10">
        <f t="shared" si="5"/>
        <v>0</v>
      </c>
    </row>
    <row r="107" spans="1:11" ht="15.6" x14ac:dyDescent="0.3">
      <c r="D107" s="25" t="s">
        <v>65</v>
      </c>
      <c r="E107" s="14">
        <v>45707</v>
      </c>
      <c r="F107" s="4">
        <v>150</v>
      </c>
      <c r="H107" s="25" t="s">
        <v>98</v>
      </c>
      <c r="I107" s="29">
        <f>SUMIF(TOMATE!D3:D244,"YARAREGA 18-05-18 25 K ",TOMATE!F3:F244)</f>
        <v>75</v>
      </c>
      <c r="J107" s="62">
        <f>COMPRAS!M107</f>
        <v>6.8032000000000004</v>
      </c>
      <c r="K107" s="10">
        <f t="shared" si="5"/>
        <v>510.24</v>
      </c>
    </row>
    <row r="108" spans="1:11" x14ac:dyDescent="0.3">
      <c r="D108" s="4" t="s">
        <v>185</v>
      </c>
      <c r="E108" s="14">
        <v>45708</v>
      </c>
      <c r="F108" s="4">
        <v>90</v>
      </c>
      <c r="H108" s="8"/>
      <c r="I108" s="30"/>
      <c r="J108" s="46"/>
      <c r="K108" s="10"/>
    </row>
    <row r="109" spans="1:11" x14ac:dyDescent="0.3">
      <c r="D109" s="4" t="s">
        <v>86</v>
      </c>
      <c r="E109" s="14">
        <v>45708</v>
      </c>
      <c r="F109" s="4">
        <v>9</v>
      </c>
      <c r="H109" s="8"/>
      <c r="I109" s="30"/>
      <c r="J109" s="46"/>
      <c r="K109" s="10"/>
    </row>
    <row r="110" spans="1:11" ht="15.6" x14ac:dyDescent="0.3">
      <c r="D110" s="25" t="s">
        <v>90</v>
      </c>
      <c r="E110" s="14">
        <v>45708</v>
      </c>
      <c r="F110" s="4">
        <v>90</v>
      </c>
      <c r="J110" s="46"/>
      <c r="K110" s="10"/>
    </row>
    <row r="111" spans="1:11" ht="15.6" x14ac:dyDescent="0.3">
      <c r="D111" s="25" t="s">
        <v>70</v>
      </c>
      <c r="E111" s="14">
        <v>45708</v>
      </c>
      <c r="F111" s="4">
        <v>90</v>
      </c>
      <c r="J111" s="46"/>
      <c r="K111" s="10"/>
    </row>
    <row r="112" spans="1:11" x14ac:dyDescent="0.3">
      <c r="D112" s="17" t="s">
        <v>87</v>
      </c>
      <c r="E112" s="14">
        <v>45708</v>
      </c>
      <c r="F112" s="4">
        <v>45</v>
      </c>
      <c r="J112" s="46"/>
      <c r="K112" s="10"/>
    </row>
    <row r="113" spans="4:11" ht="14.4" customHeight="1" x14ac:dyDescent="0.3">
      <c r="D113" s="25" t="s">
        <v>88</v>
      </c>
      <c r="E113" s="14">
        <v>45708</v>
      </c>
      <c r="F113" s="4">
        <v>45</v>
      </c>
      <c r="J113" s="46"/>
      <c r="K113" s="10"/>
    </row>
    <row r="114" spans="4:11" ht="15.6" x14ac:dyDescent="0.3">
      <c r="D114" s="39" t="s">
        <v>223</v>
      </c>
      <c r="E114" s="14">
        <v>45711</v>
      </c>
      <c r="F114" s="4">
        <v>240</v>
      </c>
      <c r="J114" s="46"/>
      <c r="K114" s="10"/>
    </row>
    <row r="115" spans="4:11" ht="15.6" x14ac:dyDescent="0.3">
      <c r="D115" s="25" t="s">
        <v>98</v>
      </c>
      <c r="E115" s="14">
        <v>45711</v>
      </c>
      <c r="F115" s="4">
        <v>75</v>
      </c>
      <c r="J115" s="46"/>
      <c r="K115" s="10"/>
    </row>
    <row r="116" spans="4:11" ht="15.6" customHeight="1" x14ac:dyDescent="0.3">
      <c r="D116" s="4" t="s">
        <v>72</v>
      </c>
      <c r="E116" s="14">
        <v>45711</v>
      </c>
      <c r="F116" s="4">
        <v>1.8</v>
      </c>
      <c r="J116" s="46"/>
      <c r="K116" s="10"/>
    </row>
    <row r="117" spans="4:11" ht="15.6" x14ac:dyDescent="0.3">
      <c r="D117" s="25" t="s">
        <v>73</v>
      </c>
      <c r="E117" s="14">
        <v>45715</v>
      </c>
      <c r="F117" s="4">
        <v>88</v>
      </c>
      <c r="J117" s="46"/>
      <c r="K117" s="10"/>
    </row>
    <row r="118" spans="4:11" ht="15.6" x14ac:dyDescent="0.3">
      <c r="D118" s="25" t="s">
        <v>103</v>
      </c>
      <c r="E118" s="14">
        <v>45715</v>
      </c>
      <c r="F118" s="4">
        <v>130</v>
      </c>
      <c r="J118" s="47"/>
      <c r="K118" s="17"/>
    </row>
    <row r="119" spans="4:11" x14ac:dyDescent="0.3">
      <c r="D119" s="4" t="s">
        <v>45</v>
      </c>
      <c r="E119" s="14">
        <v>45715</v>
      </c>
      <c r="F119" s="4">
        <v>130</v>
      </c>
      <c r="J119" s="46"/>
      <c r="K119" s="10"/>
    </row>
    <row r="120" spans="4:11" ht="15.6" x14ac:dyDescent="0.3">
      <c r="D120" s="25" t="s">
        <v>70</v>
      </c>
      <c r="E120" s="14">
        <v>45715</v>
      </c>
      <c r="F120" s="4">
        <v>175</v>
      </c>
      <c r="J120" s="47"/>
      <c r="K120" s="17">
        <f>SUM(K3:K119)</f>
        <v>7424.0025005364996</v>
      </c>
    </row>
    <row r="121" spans="4:11" x14ac:dyDescent="0.3">
      <c r="D121" s="17" t="s">
        <v>87</v>
      </c>
      <c r="E121" s="14">
        <v>45715</v>
      </c>
      <c r="F121" s="4">
        <v>65</v>
      </c>
      <c r="J121" s="46"/>
      <c r="K121" s="10"/>
    </row>
    <row r="122" spans="4:11" ht="15.6" x14ac:dyDescent="0.3">
      <c r="D122" s="25" t="s">
        <v>88</v>
      </c>
      <c r="E122" s="14">
        <v>45715</v>
      </c>
      <c r="F122" s="4">
        <v>65</v>
      </c>
      <c r="J122" s="47"/>
      <c r="K122" s="17"/>
    </row>
    <row r="123" spans="4:11" x14ac:dyDescent="0.3">
      <c r="D123" s="4" t="s">
        <v>65</v>
      </c>
      <c r="E123" s="14">
        <v>45717</v>
      </c>
      <c r="F123" s="4">
        <v>150</v>
      </c>
      <c r="J123" s="46"/>
      <c r="K123" s="10"/>
    </row>
    <row r="124" spans="4:11" x14ac:dyDescent="0.3">
      <c r="D124" s="4" t="s">
        <v>64</v>
      </c>
      <c r="E124" s="14">
        <v>45717</v>
      </c>
      <c r="F124" s="4">
        <v>150</v>
      </c>
      <c r="J124" s="47"/>
      <c r="K124" s="17"/>
    </row>
    <row r="125" spans="4:11" x14ac:dyDescent="0.3">
      <c r="D125" s="4" t="s">
        <v>111</v>
      </c>
      <c r="E125" s="14">
        <v>45717</v>
      </c>
      <c r="F125" s="4">
        <v>21</v>
      </c>
      <c r="J125" s="47"/>
      <c r="K125" s="17"/>
    </row>
    <row r="126" spans="4:11" x14ac:dyDescent="0.3">
      <c r="D126" s="4" t="s">
        <v>53</v>
      </c>
      <c r="E126" s="14">
        <v>45717</v>
      </c>
      <c r="F126" s="4">
        <v>9.5</v>
      </c>
      <c r="J126" s="46"/>
      <c r="K126" s="10"/>
    </row>
    <row r="127" spans="4:11" ht="15.6" x14ac:dyDescent="0.3">
      <c r="D127" s="25" t="s">
        <v>240</v>
      </c>
      <c r="E127" s="14">
        <v>45717</v>
      </c>
      <c r="F127" s="4">
        <v>25</v>
      </c>
      <c r="J127" s="47"/>
      <c r="K127" s="17"/>
    </row>
    <row r="128" spans="4:11" x14ac:dyDescent="0.3">
      <c r="J128" s="47"/>
      <c r="K128" s="17"/>
    </row>
    <row r="129" spans="10:11" x14ac:dyDescent="0.3">
      <c r="J129" s="46"/>
      <c r="K129" s="10"/>
    </row>
    <row r="130" spans="10:11" x14ac:dyDescent="0.3">
      <c r="J130" s="47"/>
      <c r="K130" s="17"/>
    </row>
    <row r="131" spans="10:11" x14ac:dyDescent="0.3">
      <c r="J131" s="47"/>
      <c r="K131" s="17"/>
    </row>
    <row r="132" spans="10:11" x14ac:dyDescent="0.3">
      <c r="J132" s="46"/>
      <c r="K132" s="10"/>
    </row>
    <row r="133" spans="10:11" x14ac:dyDescent="0.3">
      <c r="J133" s="47"/>
      <c r="K133" s="17"/>
    </row>
    <row r="134" spans="10:11" x14ac:dyDescent="0.3">
      <c r="J134" s="47"/>
      <c r="K134" s="17"/>
    </row>
    <row r="135" spans="10:11" x14ac:dyDescent="0.3">
      <c r="J135" s="47"/>
      <c r="K135" s="17"/>
    </row>
    <row r="136" spans="10:11" x14ac:dyDescent="0.3">
      <c r="J136" s="46"/>
      <c r="K136" s="10"/>
    </row>
    <row r="137" spans="10:11" x14ac:dyDescent="0.3">
      <c r="J137" s="47"/>
      <c r="K137" s="17"/>
    </row>
    <row r="138" spans="10:11" x14ac:dyDescent="0.3">
      <c r="J138" s="46"/>
      <c r="K138" s="10"/>
    </row>
    <row r="139" spans="10:11" x14ac:dyDescent="0.3">
      <c r="J139" s="46"/>
      <c r="K139" s="10"/>
    </row>
    <row r="140" spans="10:11" x14ac:dyDescent="0.3">
      <c r="J140" s="46"/>
      <c r="K140" s="10"/>
    </row>
    <row r="141" spans="10:11" x14ac:dyDescent="0.3">
      <c r="J141" s="46"/>
      <c r="K141" s="10"/>
    </row>
    <row r="142" spans="10:11" x14ac:dyDescent="0.3">
      <c r="J142" s="46"/>
      <c r="K142" s="10"/>
    </row>
    <row r="143" spans="10:11" x14ac:dyDescent="0.3">
      <c r="J143" s="46"/>
      <c r="K143" s="10"/>
    </row>
    <row r="144" spans="10:11" x14ac:dyDescent="0.3">
      <c r="J144" s="46"/>
      <c r="K144" s="10"/>
    </row>
    <row r="145" spans="8:11" x14ac:dyDescent="0.3">
      <c r="J145" s="46"/>
      <c r="K145" s="10"/>
    </row>
    <row r="146" spans="8:11" x14ac:dyDescent="0.3">
      <c r="J146" s="46"/>
      <c r="K146" s="10"/>
    </row>
    <row r="147" spans="8:11" x14ac:dyDescent="0.3">
      <c r="J147" s="46"/>
      <c r="K147" s="10"/>
    </row>
    <row r="148" spans="8:11" x14ac:dyDescent="0.3">
      <c r="J148" s="46"/>
      <c r="K148" s="10"/>
    </row>
    <row r="149" spans="8:11" x14ac:dyDescent="0.3">
      <c r="J149" s="46"/>
      <c r="K149" s="10"/>
    </row>
    <row r="150" spans="8:11" ht="15.6" x14ac:dyDescent="0.3">
      <c r="H150" s="40"/>
      <c r="J150" s="46"/>
      <c r="K150" s="10"/>
    </row>
    <row r="151" spans="8:11" ht="14.4" customHeight="1" x14ac:dyDescent="0.3">
      <c r="J151" s="46"/>
      <c r="K151" s="10"/>
    </row>
    <row r="152" spans="8:11" x14ac:dyDescent="0.3">
      <c r="J152" s="46"/>
      <c r="K152" s="10"/>
    </row>
    <row r="153" spans="8:11" x14ac:dyDescent="0.3">
      <c r="J153" s="46"/>
      <c r="K153" s="10"/>
    </row>
    <row r="154" spans="8:11" ht="15.6" x14ac:dyDescent="0.3">
      <c r="H154" s="40"/>
      <c r="J154" s="46"/>
      <c r="K154" s="10"/>
    </row>
    <row r="155" spans="8:11" x14ac:dyDescent="0.3">
      <c r="J155" s="46"/>
      <c r="K155" s="10"/>
    </row>
    <row r="156" spans="8:11" ht="15.6" x14ac:dyDescent="0.3">
      <c r="H156" s="39"/>
      <c r="J156" s="46"/>
      <c r="K156" s="10"/>
    </row>
    <row r="157" spans="8:11" x14ac:dyDescent="0.3">
      <c r="J157" s="46"/>
      <c r="K157" s="10"/>
    </row>
    <row r="158" spans="8:11" ht="15.6" x14ac:dyDescent="0.3">
      <c r="H158" s="39"/>
      <c r="J158" s="46"/>
      <c r="K158" s="10"/>
    </row>
    <row r="159" spans="8:11" ht="15.6" x14ac:dyDescent="0.3">
      <c r="H159" s="39"/>
      <c r="J159" s="46"/>
      <c r="K159" s="10"/>
    </row>
    <row r="160" spans="8:11" x14ac:dyDescent="0.3">
      <c r="J160" s="46"/>
      <c r="K160" s="10"/>
    </row>
    <row r="161" spans="10:11" x14ac:dyDescent="0.3">
      <c r="J161" s="46"/>
      <c r="K161" s="10"/>
    </row>
    <row r="162" spans="10:11" x14ac:dyDescent="0.3">
      <c r="J162" s="46"/>
      <c r="K162" s="10"/>
    </row>
    <row r="163" spans="10:11" x14ac:dyDescent="0.3">
      <c r="J163" s="46"/>
      <c r="K163" s="10"/>
    </row>
    <row r="164" spans="10:11" x14ac:dyDescent="0.3">
      <c r="J164" s="46"/>
      <c r="K164" s="10"/>
    </row>
    <row r="165" spans="10:11" x14ac:dyDescent="0.3">
      <c r="J165" s="46"/>
      <c r="K165" s="10"/>
    </row>
    <row r="166" spans="10:11" x14ac:dyDescent="0.3">
      <c r="J166" s="46"/>
      <c r="K166" s="10"/>
    </row>
    <row r="167" spans="10:11" x14ac:dyDescent="0.3">
      <c r="J167" s="46"/>
      <c r="K167" s="10"/>
    </row>
    <row r="168" spans="10:11" x14ac:dyDescent="0.3">
      <c r="J168" s="46"/>
      <c r="K168" s="10"/>
    </row>
    <row r="169" spans="10:11" x14ac:dyDescent="0.3">
      <c r="J169" s="46"/>
      <c r="K169" s="10"/>
    </row>
    <row r="170" spans="10:11" x14ac:dyDescent="0.3">
      <c r="J170" s="46"/>
      <c r="K170" s="10"/>
    </row>
    <row r="171" spans="10:11" x14ac:dyDescent="0.3">
      <c r="J171" s="46"/>
      <c r="K171" s="10"/>
    </row>
    <row r="172" spans="10:11" x14ac:dyDescent="0.3">
      <c r="J172" s="47"/>
      <c r="K172" s="17"/>
    </row>
    <row r="173" spans="10:11" x14ac:dyDescent="0.3">
      <c r="J173" s="46"/>
      <c r="K173" s="10"/>
    </row>
    <row r="174" spans="10:11" x14ac:dyDescent="0.3">
      <c r="J174" s="46"/>
      <c r="K174" s="10"/>
    </row>
    <row r="175" spans="10:11" x14ac:dyDescent="0.3">
      <c r="J175" s="46"/>
      <c r="K175" s="10"/>
    </row>
    <row r="176" spans="10:11" x14ac:dyDescent="0.3">
      <c r="J176" s="47"/>
      <c r="K176" s="17"/>
    </row>
    <row r="177" spans="10:11" x14ac:dyDescent="0.3">
      <c r="J177" s="46"/>
      <c r="K177" s="10"/>
    </row>
    <row r="178" spans="10:11" x14ac:dyDescent="0.3">
      <c r="J178" s="46"/>
      <c r="K178" s="10"/>
    </row>
    <row r="179" spans="10:11" x14ac:dyDescent="0.3">
      <c r="J179" s="46"/>
      <c r="K179" s="10"/>
    </row>
    <row r="180" spans="10:11" x14ac:dyDescent="0.3">
      <c r="J180" s="46"/>
      <c r="K180" s="10"/>
    </row>
  </sheetData>
  <autoFilter ref="D1:D180"/>
  <mergeCells count="9">
    <mergeCell ref="S1:V1"/>
    <mergeCell ref="M38:Q38"/>
    <mergeCell ref="S38:W38"/>
    <mergeCell ref="M46:Q46"/>
    <mergeCell ref="A102:B102"/>
    <mergeCell ref="A1:B1"/>
    <mergeCell ref="D1:F1"/>
    <mergeCell ref="H1:K1"/>
    <mergeCell ref="M1:Q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9"/>
  <sheetViews>
    <sheetView topLeftCell="C1" zoomScale="85" zoomScaleNormal="85" workbookViewId="0">
      <selection activeCell="J8" sqref="C8:J8"/>
    </sheetView>
  </sheetViews>
  <sheetFormatPr defaultRowHeight="15.6" x14ac:dyDescent="0.3"/>
  <cols>
    <col min="1" max="1" width="65.44140625" style="33" customWidth="1"/>
    <col min="2" max="2" width="14.88671875" style="33" customWidth="1"/>
    <col min="3" max="3" width="11.109375" style="37" customWidth="1"/>
    <col min="4" max="4" width="16.6640625" style="37" customWidth="1"/>
    <col min="5" max="5" width="11.44140625" style="37" customWidth="1"/>
    <col min="6" max="6" width="15.6640625" style="38" customWidth="1"/>
    <col min="7" max="7" width="49.6640625" style="64" customWidth="1"/>
    <col min="8" max="8" width="25.44140625" style="64" customWidth="1"/>
    <col min="9" max="9" width="5.109375" style="32" customWidth="1"/>
    <col min="10" max="10" width="61.44140625" style="33" customWidth="1"/>
    <col min="11" max="11" width="15.5546875" style="33" customWidth="1"/>
    <col min="12" max="12" width="15.44140625" style="38" customWidth="1"/>
    <col min="13" max="13" width="18.21875" style="43" customWidth="1"/>
    <col min="14" max="14" width="54.21875" style="39" customWidth="1"/>
    <col min="15" max="18" width="18.21875" style="33" customWidth="1"/>
    <col min="19" max="16384" width="8.88671875" style="33"/>
  </cols>
  <sheetData>
    <row r="1" spans="1:14" x14ac:dyDescent="0.3">
      <c r="A1" s="92" t="s">
        <v>27</v>
      </c>
      <c r="B1" s="92"/>
      <c r="C1" s="92"/>
      <c r="D1" s="92"/>
      <c r="E1" s="92"/>
      <c r="F1" s="92"/>
      <c r="G1" s="92"/>
      <c r="J1" s="93" t="s">
        <v>78</v>
      </c>
      <c r="K1" s="93"/>
      <c r="L1" s="93"/>
      <c r="M1" s="93"/>
    </row>
    <row r="2" spans="1:14" x14ac:dyDescent="0.3">
      <c r="A2" s="34" t="s">
        <v>0</v>
      </c>
      <c r="B2" s="34" t="s">
        <v>1</v>
      </c>
      <c r="C2" s="35" t="s">
        <v>2</v>
      </c>
      <c r="D2" s="35" t="s">
        <v>14</v>
      </c>
      <c r="E2" s="35" t="s">
        <v>75</v>
      </c>
      <c r="F2" s="36" t="s">
        <v>4</v>
      </c>
      <c r="G2" s="35" t="s">
        <v>120</v>
      </c>
      <c r="H2" s="35" t="s">
        <v>122</v>
      </c>
      <c r="J2" s="34" t="s">
        <v>0</v>
      </c>
      <c r="K2" s="65" t="s">
        <v>74</v>
      </c>
      <c r="L2" s="66" t="s">
        <v>76</v>
      </c>
      <c r="M2" s="67" t="s">
        <v>77</v>
      </c>
    </row>
    <row r="3" spans="1:14" x14ac:dyDescent="0.3">
      <c r="A3" s="69" t="s">
        <v>181</v>
      </c>
      <c r="B3" s="54">
        <v>45299</v>
      </c>
      <c r="C3" s="70">
        <v>1</v>
      </c>
      <c r="D3" s="70">
        <v>1000</v>
      </c>
      <c r="E3" s="55">
        <f>C3*D3</f>
        <v>1000</v>
      </c>
      <c r="F3" s="71">
        <v>25</v>
      </c>
      <c r="G3" s="61" t="s">
        <v>180</v>
      </c>
      <c r="H3" s="72"/>
      <c r="J3" s="61" t="s">
        <v>185</v>
      </c>
      <c r="K3" s="29">
        <f>SUMIF(COMPRAS!A3:A183,"ABADIN 72 EC - 1 LITRO",COMPRAS!E3:E183)</f>
        <v>2000</v>
      </c>
      <c r="L3" s="31">
        <f>SUMIF(COMPRAS!A3:A183,"ABADIN 72 EC - 1 LITRO",COMPRAS!F3:F183)</f>
        <v>260</v>
      </c>
      <c r="M3" s="76">
        <f t="shared" ref="M3:M18" si="0">L3/K3</f>
        <v>0.13</v>
      </c>
      <c r="N3" s="68"/>
    </row>
    <row r="4" spans="1:14" x14ac:dyDescent="0.3">
      <c r="A4" s="40" t="s">
        <v>90</v>
      </c>
      <c r="B4" s="54">
        <v>45299</v>
      </c>
      <c r="C4" s="55">
        <v>1</v>
      </c>
      <c r="D4" s="55">
        <v>5000</v>
      </c>
      <c r="E4" s="55">
        <f>C4*D4</f>
        <v>5000</v>
      </c>
      <c r="F4" s="56">
        <v>1000</v>
      </c>
      <c r="G4" s="61" t="s">
        <v>180</v>
      </c>
      <c r="H4" s="72"/>
      <c r="J4" s="61" t="s">
        <v>184</v>
      </c>
      <c r="K4" s="29">
        <f>SUMIF(COMPRAS!A3:A183,"ABAMEX -1 LITRO",COMPRAS!E3:E183)</f>
        <v>1000</v>
      </c>
      <c r="L4" s="31">
        <f>SUMIF(COMPRAS!A3:A183,"ABAMEX -1 LITRO",COMPRAS!F3:F183)</f>
        <v>50</v>
      </c>
      <c r="M4" s="76">
        <f t="shared" si="0"/>
        <v>0.05</v>
      </c>
      <c r="N4" s="68"/>
    </row>
    <row r="5" spans="1:14" x14ac:dyDescent="0.3">
      <c r="A5" s="69" t="s">
        <v>182</v>
      </c>
      <c r="B5" s="54">
        <v>45299</v>
      </c>
      <c r="C5" s="70">
        <v>1</v>
      </c>
      <c r="D5" s="70">
        <v>5000</v>
      </c>
      <c r="E5" s="55">
        <f>C5*D5</f>
        <v>5000</v>
      </c>
      <c r="F5" s="71">
        <v>180</v>
      </c>
      <c r="G5" s="61" t="s">
        <v>180</v>
      </c>
      <c r="H5" s="72"/>
      <c r="J5" s="40" t="s">
        <v>117</v>
      </c>
      <c r="K5" s="40">
        <f>SUMIF(COMPRAS!A3:A183,"ABAMEX MAXX 72% 12X1 LT",COMPRAS!E3:E183)</f>
        <v>1000</v>
      </c>
      <c r="L5" s="56">
        <f>SUMIF(COMPRAS!A3:A183,"ABAMEX MAXX 72% 12X1 LT",COMPRAS!F3:F183)</f>
        <v>100</v>
      </c>
      <c r="M5" s="76">
        <f t="shared" si="0"/>
        <v>0.1</v>
      </c>
    </row>
    <row r="6" spans="1:14" x14ac:dyDescent="0.3">
      <c r="A6" s="69" t="s">
        <v>183</v>
      </c>
      <c r="B6" s="54">
        <v>45299</v>
      </c>
      <c r="C6" s="70">
        <v>1</v>
      </c>
      <c r="D6" s="70">
        <v>1000</v>
      </c>
      <c r="E6" s="55">
        <f>C6*D6</f>
        <v>1000</v>
      </c>
      <c r="F6" s="71">
        <v>60</v>
      </c>
      <c r="G6" s="61" t="s">
        <v>180</v>
      </c>
      <c r="H6" s="72"/>
      <c r="J6" s="40" t="s">
        <v>72</v>
      </c>
      <c r="K6" s="29">
        <f>SUMIF(COMPRAS!A3:A183,"ACIDO BORICO SACO 25K",COMPRAS!E3:E183)</f>
        <v>25</v>
      </c>
      <c r="L6" s="31">
        <f>SUMIF(COMPRAS!A3:A183,"ACIDO BORICO SACO 25K",COMPRAS!F3:F183)</f>
        <v>255</v>
      </c>
      <c r="M6" s="76">
        <f t="shared" si="0"/>
        <v>10.199999999999999</v>
      </c>
      <c r="N6" s="25"/>
    </row>
    <row r="7" spans="1:14" x14ac:dyDescent="0.3">
      <c r="A7" s="69" t="s">
        <v>102</v>
      </c>
      <c r="B7" s="54">
        <v>45299</v>
      </c>
      <c r="C7" s="70">
        <v>1</v>
      </c>
      <c r="D7" s="70">
        <v>5000</v>
      </c>
      <c r="E7" s="55">
        <f>C7*D7</f>
        <v>5000</v>
      </c>
      <c r="F7" s="71">
        <v>195</v>
      </c>
      <c r="G7" s="61" t="s">
        <v>180</v>
      </c>
      <c r="H7" s="72"/>
      <c r="J7" s="40" t="s">
        <v>181</v>
      </c>
      <c r="K7" s="40">
        <f>SUMIF(COMPRAS!A3:A183,"ADESIL - 1 LITRO",COMPRAS!E3:E183)</f>
        <v>1000</v>
      </c>
      <c r="L7" s="56">
        <f>SUMIF(COMPRAS!A3:A183,"ADESIL - 1 LITRO",COMPRAS!F3:F183)</f>
        <v>25</v>
      </c>
      <c r="M7" s="76">
        <f t="shared" si="0"/>
        <v>2.5000000000000001E-2</v>
      </c>
    </row>
    <row r="8" spans="1:14" x14ac:dyDescent="0.3">
      <c r="A8" s="69" t="s">
        <v>185</v>
      </c>
      <c r="B8" s="73">
        <v>45309</v>
      </c>
      <c r="C8" s="70">
        <v>2</v>
      </c>
      <c r="D8" s="70">
        <v>1000</v>
      </c>
      <c r="E8" s="55">
        <f>C8*D8</f>
        <v>2000</v>
      </c>
      <c r="F8" s="71">
        <v>260</v>
      </c>
      <c r="G8" s="61" t="s">
        <v>188</v>
      </c>
      <c r="H8" s="72"/>
      <c r="J8" s="40" t="s">
        <v>115</v>
      </c>
      <c r="K8" s="40">
        <f>SUMIF(COMPRAS!A3:A183,"AGRUMAX MZ 4X5 KG",COMPRAS!E3:E183)</f>
        <v>5000</v>
      </c>
      <c r="L8" s="31">
        <f>SUMIF(COMPRAS!A3:A183,"AGRUMAX MZ 4X5 KG",COMPRAS!F3:F183)</f>
        <v>160</v>
      </c>
      <c r="M8" s="76">
        <f t="shared" si="0"/>
        <v>3.2000000000000001E-2</v>
      </c>
    </row>
    <row r="9" spans="1:14" x14ac:dyDescent="0.3">
      <c r="A9" s="69" t="s">
        <v>184</v>
      </c>
      <c r="B9" s="73">
        <v>45309</v>
      </c>
      <c r="C9" s="70">
        <v>1</v>
      </c>
      <c r="D9" s="70">
        <v>1000</v>
      </c>
      <c r="E9" s="55">
        <f>C9*D9</f>
        <v>1000</v>
      </c>
      <c r="F9" s="71">
        <v>50</v>
      </c>
      <c r="G9" s="61" t="s">
        <v>188</v>
      </c>
      <c r="H9" s="72"/>
      <c r="J9" s="40" t="s">
        <v>35</v>
      </c>
      <c r="K9" s="29">
        <f>SUMIF(COMPRAS!A3:A183,"AMISTAR TOP 1 L",COMPRAS!E3:E183)</f>
        <v>1000</v>
      </c>
      <c r="L9" s="31">
        <f>SUMIF(COMPRAS!A3:A183,"AMISTAR TOP 1 L",COMPRAS!F3:F183)</f>
        <v>205</v>
      </c>
      <c r="M9" s="76">
        <f t="shared" si="0"/>
        <v>0.20499999999999999</v>
      </c>
      <c r="N9" s="25"/>
    </row>
    <row r="10" spans="1:14" x14ac:dyDescent="0.3">
      <c r="A10" s="69" t="s">
        <v>193</v>
      </c>
      <c r="B10" s="73">
        <v>45309</v>
      </c>
      <c r="C10" s="70">
        <v>10</v>
      </c>
      <c r="D10" s="70">
        <v>1000</v>
      </c>
      <c r="E10" s="55">
        <f>C10*D10</f>
        <v>10000</v>
      </c>
      <c r="F10" s="71">
        <v>380</v>
      </c>
      <c r="G10" s="61" t="s">
        <v>188</v>
      </c>
      <c r="H10" s="72"/>
      <c r="J10" s="40" t="s">
        <v>41</v>
      </c>
      <c r="K10" s="29">
        <f>SUMIF(COMPRAS!A3:A183,"AMISTAR WG 6X500 G-1 KILO",COMPRAS!E3:E183)</f>
        <v>1000</v>
      </c>
      <c r="L10" s="31">
        <f>SUMIF(COMPRAS!A3:A183,"AMISTAR WG 6X500 G-1 KILO",COMPRAS!F3:F183)</f>
        <v>200</v>
      </c>
      <c r="M10" s="76">
        <f t="shared" si="0"/>
        <v>0.2</v>
      </c>
      <c r="N10" s="25"/>
    </row>
    <row r="11" spans="1:14" x14ac:dyDescent="0.3">
      <c r="A11" s="40" t="s">
        <v>187</v>
      </c>
      <c r="B11" s="54">
        <v>45309</v>
      </c>
      <c r="C11" s="55">
        <v>1</v>
      </c>
      <c r="D11" s="55">
        <v>1000</v>
      </c>
      <c r="E11" s="55">
        <f>C11*D11</f>
        <v>1000</v>
      </c>
      <c r="F11" s="56">
        <v>220</v>
      </c>
      <c r="G11" s="61" t="s">
        <v>188</v>
      </c>
      <c r="H11" s="72"/>
      <c r="J11" s="40" t="s">
        <v>23</v>
      </c>
      <c r="K11" s="29">
        <f>SUMIF(COMPRAS!A3:A183,"AMPLIGO 250 ML",COMPRAS!E3:E183)</f>
        <v>1000</v>
      </c>
      <c r="L11" s="31">
        <f>SUMIF(COMPRAS!A3:A183,"AMPLIGO 250 ML",COMPRAS!F3:F183)</f>
        <v>390</v>
      </c>
      <c r="M11" s="76">
        <f t="shared" si="0"/>
        <v>0.39</v>
      </c>
      <c r="N11" s="25"/>
    </row>
    <row r="12" spans="1:14" x14ac:dyDescent="0.3">
      <c r="A12" s="69" t="s">
        <v>186</v>
      </c>
      <c r="B12" s="73">
        <v>45309</v>
      </c>
      <c r="C12" s="70">
        <v>1</v>
      </c>
      <c r="D12" s="70">
        <v>1000</v>
      </c>
      <c r="E12" s="55">
        <f>C12*D12</f>
        <v>1000</v>
      </c>
      <c r="F12" s="71">
        <v>290</v>
      </c>
      <c r="G12" s="61" t="s">
        <v>188</v>
      </c>
      <c r="H12" s="72"/>
      <c r="J12" s="56" t="s">
        <v>68</v>
      </c>
      <c r="K12" s="29">
        <f>SUMIF(COMPRAS!A3:A183,"AVATAR 1 L",COMPRAS!E3:E183)</f>
        <v>2000</v>
      </c>
      <c r="L12" s="31">
        <f>SUMIF(COMPRAS!A3:A183,"AVATAR 1 L",COMPRAS!F3:F183)</f>
        <v>750</v>
      </c>
      <c r="M12" s="76">
        <f t="shared" si="0"/>
        <v>0.375</v>
      </c>
      <c r="N12" s="24"/>
    </row>
    <row r="13" spans="1:14" x14ac:dyDescent="0.3">
      <c r="A13" s="40" t="s">
        <v>189</v>
      </c>
      <c r="B13" s="54">
        <v>45321</v>
      </c>
      <c r="C13" s="55">
        <v>1</v>
      </c>
      <c r="D13" s="55">
        <v>500</v>
      </c>
      <c r="E13" s="55">
        <f>C13*D13</f>
        <v>500</v>
      </c>
      <c r="F13" s="56">
        <v>380</v>
      </c>
      <c r="G13" s="61" t="s">
        <v>192</v>
      </c>
      <c r="H13" s="72"/>
      <c r="J13" s="40" t="s">
        <v>33</v>
      </c>
      <c r="K13" s="29">
        <f>SUMIF(COMPRAS!A3:A183,"BARBANTE EM NOVELO N10 BRANCO",COMPRAS!E3:E183)</f>
        <v>40</v>
      </c>
      <c r="L13" s="31">
        <f>SUMIF(COMPRAS!A3:A183,"BARBANTE EM NOVELO N10 BRANCO",COMPRAS!F3:F183)</f>
        <v>1185</v>
      </c>
      <c r="M13" s="76">
        <f t="shared" si="0"/>
        <v>29.625</v>
      </c>
      <c r="N13" s="25"/>
    </row>
    <row r="14" spans="1:14" x14ac:dyDescent="0.3">
      <c r="A14" s="69" t="s">
        <v>191</v>
      </c>
      <c r="B14" s="73">
        <v>45321</v>
      </c>
      <c r="C14" s="70">
        <v>1</v>
      </c>
      <c r="D14" s="70">
        <v>5000</v>
      </c>
      <c r="E14" s="55">
        <f>C14*D14</f>
        <v>5000</v>
      </c>
      <c r="F14" s="71">
        <v>210</v>
      </c>
      <c r="G14" s="61" t="s">
        <v>192</v>
      </c>
      <c r="H14" s="72"/>
      <c r="J14" s="40" t="s">
        <v>32</v>
      </c>
      <c r="K14" s="29">
        <f>SUMIF(COMPRAS!A3:A183,"BARBANTE EM NOVELO N8 OURO",COMPRAS!E3:E183)</f>
        <v>26</v>
      </c>
      <c r="L14" s="31">
        <f>SUMIF(COMPRAS!A3:A183,"BARBANTE EM NOVELO N8 OURO",COMPRAS!F3:F183)</f>
        <v>821</v>
      </c>
      <c r="M14" s="76">
        <f t="shared" si="0"/>
        <v>31.576923076923077</v>
      </c>
      <c r="N14" s="25"/>
    </row>
    <row r="15" spans="1:14" x14ac:dyDescent="0.3">
      <c r="A15" s="69" t="s">
        <v>190</v>
      </c>
      <c r="B15" s="73">
        <v>45321</v>
      </c>
      <c r="C15" s="70">
        <v>1</v>
      </c>
      <c r="D15" s="70">
        <v>3000</v>
      </c>
      <c r="E15" s="55">
        <f>C15*D15</f>
        <v>3000</v>
      </c>
      <c r="F15" s="71">
        <v>170</v>
      </c>
      <c r="G15" s="61" t="s">
        <v>192</v>
      </c>
      <c r="H15" s="72"/>
      <c r="J15" s="40" t="s">
        <v>73</v>
      </c>
      <c r="K15" s="29">
        <f>SUMIF(COMPRAS!A3:A183,"BENZOATO  1K",COMPRAS!E3:E183)</f>
        <v>1000</v>
      </c>
      <c r="L15" s="31">
        <f>SUMIF(COMPRAS!A3:A183,"BENZOATO  1K",COMPRAS!F3:F183)</f>
        <v>450</v>
      </c>
      <c r="M15" s="76">
        <f t="shared" si="0"/>
        <v>0.45</v>
      </c>
      <c r="N15" s="25"/>
    </row>
    <row r="16" spans="1:14" x14ac:dyDescent="0.3">
      <c r="A16" s="69" t="s">
        <v>102</v>
      </c>
      <c r="B16" s="73">
        <v>45321</v>
      </c>
      <c r="C16" s="70">
        <v>1</v>
      </c>
      <c r="D16" s="70">
        <v>5000</v>
      </c>
      <c r="E16" s="55">
        <f>C16*D16</f>
        <v>5000</v>
      </c>
      <c r="F16" s="71">
        <v>220</v>
      </c>
      <c r="G16" s="61" t="s">
        <v>192</v>
      </c>
      <c r="H16" s="72"/>
      <c r="J16" s="40" t="s">
        <v>44</v>
      </c>
      <c r="K16" s="29">
        <f>SUMIF(COMPRAS!A3:A183,"BION 500 WG  25 G",COMPRAS!E3:E183)</f>
        <v>75</v>
      </c>
      <c r="L16" s="31">
        <f>SUMIF(COMPRAS!A3:A183,"BION 500 WG  25 G",COMPRAS!F3:F183)</f>
        <v>210</v>
      </c>
      <c r="M16" s="76">
        <f t="shared" si="0"/>
        <v>2.8</v>
      </c>
      <c r="N16" s="25"/>
    </row>
    <row r="17" spans="1:14" x14ac:dyDescent="0.3">
      <c r="A17" s="69" t="s">
        <v>193</v>
      </c>
      <c r="B17" s="73">
        <v>45328</v>
      </c>
      <c r="C17" s="70">
        <v>1</v>
      </c>
      <c r="D17" s="70">
        <v>1000</v>
      </c>
      <c r="E17" s="55">
        <f>C17*D17</f>
        <v>1000</v>
      </c>
      <c r="F17" s="71">
        <v>50</v>
      </c>
      <c r="G17" s="61" t="s">
        <v>194</v>
      </c>
      <c r="H17" s="72"/>
      <c r="J17" s="40" t="s">
        <v>34</v>
      </c>
      <c r="K17" s="29">
        <f>SUMIF(COMPRAS!A3:A183,"BRAVONIL ULTREX 1 KILO",COMPRAS!E3:E183)</f>
        <v>1000</v>
      </c>
      <c r="L17" s="31">
        <f>SUMIF(COMPRAS!A3:A183,"BRAVONIL ULTREX 1 KILO",COMPRAS!F3:F183)</f>
        <v>100</v>
      </c>
      <c r="M17" s="76">
        <f t="shared" si="0"/>
        <v>0.1</v>
      </c>
      <c r="N17" s="25"/>
    </row>
    <row r="18" spans="1:14" x14ac:dyDescent="0.3">
      <c r="A18" s="69" t="s">
        <v>190</v>
      </c>
      <c r="B18" s="73">
        <v>45328</v>
      </c>
      <c r="C18" s="70">
        <v>1</v>
      </c>
      <c r="D18" s="70">
        <v>3000</v>
      </c>
      <c r="E18" s="55">
        <f>C18*D18</f>
        <v>3000</v>
      </c>
      <c r="F18" s="71">
        <v>170</v>
      </c>
      <c r="G18" s="61" t="s">
        <v>194</v>
      </c>
      <c r="H18" s="72"/>
      <c r="J18" s="40" t="s">
        <v>247</v>
      </c>
      <c r="K18" s="40">
        <f>SUMIF(COMPRAS!A3:A183,"BRIT ",COMPRAS!E3:E183)</f>
        <v>1000</v>
      </c>
      <c r="L18" s="56">
        <f>SUMIF(COMPRAS!A3:A183,"BRIT ",COMPRAS!F3:F183)</f>
        <v>65</v>
      </c>
      <c r="M18" s="76">
        <f t="shared" si="0"/>
        <v>6.5000000000000002E-2</v>
      </c>
      <c r="N18" s="25"/>
    </row>
    <row r="19" spans="1:14" x14ac:dyDescent="0.3">
      <c r="A19" s="69" t="s">
        <v>195</v>
      </c>
      <c r="B19" s="73">
        <v>45329</v>
      </c>
      <c r="C19" s="70">
        <v>1</v>
      </c>
      <c r="D19" s="70">
        <v>1000</v>
      </c>
      <c r="E19" s="55">
        <f>C19*D19</f>
        <v>1000</v>
      </c>
      <c r="F19" s="71">
        <v>65</v>
      </c>
      <c r="G19" s="61" t="s">
        <v>199</v>
      </c>
      <c r="H19" s="72"/>
      <c r="J19" s="58" t="s">
        <v>28</v>
      </c>
      <c r="K19" s="59"/>
      <c r="L19" s="60"/>
      <c r="M19" s="77"/>
      <c r="N19" s="25"/>
    </row>
    <row r="20" spans="1:14" x14ac:dyDescent="0.3">
      <c r="A20" s="69" t="s">
        <v>197</v>
      </c>
      <c r="B20" s="73">
        <v>45329</v>
      </c>
      <c r="C20" s="70">
        <v>1</v>
      </c>
      <c r="D20" s="70">
        <v>1000</v>
      </c>
      <c r="E20" s="55">
        <f>C20*D20</f>
        <v>1000</v>
      </c>
      <c r="F20" s="71">
        <v>85</v>
      </c>
      <c r="G20" s="61" t="s">
        <v>199</v>
      </c>
      <c r="H20" s="72"/>
      <c r="J20" s="40" t="s">
        <v>39</v>
      </c>
      <c r="K20" s="29">
        <f>SUMIF(COMPRAS!A3:A183,"CAL SUPER 5 LITROS",COMPRAS!E3:E183)</f>
        <v>5000</v>
      </c>
      <c r="L20" s="31">
        <f>SUMIF(COMPRAS!A3:A183,"CAL SUPER 5 LITROS",COMPRAS!F3:F183)</f>
        <v>220</v>
      </c>
      <c r="M20" s="76">
        <f t="shared" ref="M20:M61" si="1">L20/K20</f>
        <v>4.3999999999999997E-2</v>
      </c>
      <c r="N20" s="25"/>
    </row>
    <row r="21" spans="1:14" x14ac:dyDescent="0.3">
      <c r="A21" s="40" t="s">
        <v>198</v>
      </c>
      <c r="B21" s="54">
        <v>45329</v>
      </c>
      <c r="C21" s="55">
        <v>1</v>
      </c>
      <c r="D21" s="55">
        <v>20000</v>
      </c>
      <c r="E21" s="55">
        <f>C21*D21</f>
        <v>20000</v>
      </c>
      <c r="F21" s="56">
        <v>470</v>
      </c>
      <c r="G21" s="61" t="s">
        <v>199</v>
      </c>
      <c r="H21" s="72"/>
      <c r="J21" s="40" t="s">
        <v>195</v>
      </c>
      <c r="K21" s="29">
        <f>SUMIF(COMPRAS!A3:A183,"CARNADINE- 1 LITRO",COMPRAS!E3:E183)</f>
        <v>6000</v>
      </c>
      <c r="L21" s="31">
        <f>SUMIF(COMPRAS!A3:A183,"CARNADINE- 1 LITRO",COMPRAS!F3:F183)</f>
        <v>365</v>
      </c>
      <c r="M21" s="76">
        <f t="shared" si="1"/>
        <v>6.0833333333333336E-2</v>
      </c>
      <c r="N21" s="25"/>
    </row>
    <row r="22" spans="1:14" x14ac:dyDescent="0.3">
      <c r="A22" s="69" t="s">
        <v>196</v>
      </c>
      <c r="B22" s="73">
        <v>45329</v>
      </c>
      <c r="C22" s="70">
        <v>1</v>
      </c>
      <c r="D22" s="70">
        <v>1000</v>
      </c>
      <c r="E22" s="55">
        <f>C22*D22</f>
        <v>1000</v>
      </c>
      <c r="F22" s="71">
        <v>95</v>
      </c>
      <c r="G22" s="61" t="s">
        <v>199</v>
      </c>
      <c r="H22" s="72"/>
      <c r="J22" s="40" t="s">
        <v>197</v>
      </c>
      <c r="K22" s="40">
        <f>SUMIF(COMPRAS!A3:A183,"CERCOBIN 875 WG- 1 KG",COMPRAS!E3:E183)</f>
        <v>1000</v>
      </c>
      <c r="L22" s="56">
        <f>SUMIF(COMPRAS!A3:A183,"CERCOBIN 875 WG- 1 KG",COMPRAS!F3:F183)</f>
        <v>85</v>
      </c>
      <c r="M22" s="76">
        <f t="shared" si="1"/>
        <v>8.5000000000000006E-2</v>
      </c>
    </row>
    <row r="23" spans="1:14" x14ac:dyDescent="0.3">
      <c r="A23" s="69" t="s">
        <v>195</v>
      </c>
      <c r="B23" s="73">
        <v>45341</v>
      </c>
      <c r="C23" s="70">
        <v>1</v>
      </c>
      <c r="D23" s="70">
        <v>5000</v>
      </c>
      <c r="E23" s="55">
        <f>C23*D23</f>
        <v>5000</v>
      </c>
      <c r="F23" s="71">
        <v>300</v>
      </c>
      <c r="G23" s="61" t="s">
        <v>200</v>
      </c>
      <c r="H23" s="72"/>
      <c r="J23" s="31" t="s">
        <v>87</v>
      </c>
      <c r="K23" s="29">
        <f>SUMIF(COMPRAS!A3:A183,"D FIX - 1 LITRO",COMPRAS!E3:E183)</f>
        <v>1000</v>
      </c>
      <c r="L23" s="31">
        <f>SUMIF(COMPRAS!A3:A183,"D FIX - 1 LITRO",COMPRAS!F3:F183)</f>
        <v>110</v>
      </c>
      <c r="M23" s="76">
        <f t="shared" si="1"/>
        <v>0.11</v>
      </c>
      <c r="N23" s="10"/>
    </row>
    <row r="24" spans="1:14" x14ac:dyDescent="0.3">
      <c r="A24" s="40" t="s">
        <v>206</v>
      </c>
      <c r="B24" s="54">
        <v>45440</v>
      </c>
      <c r="C24" s="55">
        <v>16</v>
      </c>
      <c r="D24" s="55">
        <v>2.5</v>
      </c>
      <c r="E24" s="55">
        <f>C24*D24</f>
        <v>40</v>
      </c>
      <c r="F24" s="56">
        <v>240</v>
      </c>
      <c r="G24" s="61" t="s">
        <v>207</v>
      </c>
      <c r="H24" s="72"/>
      <c r="J24" s="40" t="s">
        <v>88</v>
      </c>
      <c r="K24" s="29">
        <f>SUMIF(COMPRAS!A3:A183,"D S30 - 1 LITRO",COMPRAS!E3:E183)</f>
        <v>1000</v>
      </c>
      <c r="L24" s="31">
        <f>SUMIF(COMPRAS!A3:A183,"D S30 - 1 LITRO",COMPRAS!F3:F183)</f>
        <v>65</v>
      </c>
      <c r="M24" s="76">
        <f t="shared" si="1"/>
        <v>6.5000000000000002E-2</v>
      </c>
      <c r="N24" s="25"/>
    </row>
    <row r="25" spans="1:14" x14ac:dyDescent="0.3">
      <c r="A25" s="69" t="s">
        <v>41</v>
      </c>
      <c r="B25" s="73">
        <v>45498</v>
      </c>
      <c r="C25" s="70">
        <v>1</v>
      </c>
      <c r="D25" s="70">
        <v>1000</v>
      </c>
      <c r="E25" s="70">
        <f>C25*D25</f>
        <v>1000</v>
      </c>
      <c r="F25" s="71">
        <v>200</v>
      </c>
      <c r="G25" s="74" t="s">
        <v>229</v>
      </c>
      <c r="H25" s="72"/>
      <c r="J25" s="40" t="s">
        <v>85</v>
      </c>
      <c r="K25" s="29">
        <f>SUMIF(COMPRAS!A3:A183,"DELEGATE(TM) - FR 120 GR",COMPRAS!E3:E183)</f>
        <v>480</v>
      </c>
      <c r="L25" s="31">
        <f>SUMIF(COMPRAS!A3:A183,"DELEGATE(TM) - FR 120 GR",COMPRAS!F3:F183)</f>
        <v>1320</v>
      </c>
      <c r="M25" s="76">
        <f t="shared" si="1"/>
        <v>2.75</v>
      </c>
      <c r="N25" s="25"/>
    </row>
    <row r="26" spans="1:14" x14ac:dyDescent="0.3">
      <c r="A26" s="40" t="s">
        <v>25</v>
      </c>
      <c r="B26" s="54">
        <v>45509</v>
      </c>
      <c r="C26" s="55">
        <v>13</v>
      </c>
      <c r="D26" s="55">
        <v>25</v>
      </c>
      <c r="E26" s="55">
        <f>C26*D26</f>
        <v>325</v>
      </c>
      <c r="F26" s="56">
        <v>2210</v>
      </c>
      <c r="G26" s="61" t="s">
        <v>123</v>
      </c>
      <c r="H26" s="61" t="s">
        <v>171</v>
      </c>
      <c r="J26" s="40" t="s">
        <v>70</v>
      </c>
      <c r="K26" s="29">
        <f>SUMIF(COMPRAS!A3:A183,"DFULL 1 LITRO",COMPRAS!E3:E183)</f>
        <v>2000</v>
      </c>
      <c r="L26" s="31">
        <f>SUMIF(COMPRAS!A3:A183,"DFULL 1 LITRO",COMPRAS!F3:F183)</f>
        <v>310</v>
      </c>
      <c r="M26" s="76">
        <f t="shared" si="1"/>
        <v>0.155</v>
      </c>
      <c r="N26" s="25"/>
    </row>
    <row r="27" spans="1:14" x14ac:dyDescent="0.3">
      <c r="A27" s="40" t="s">
        <v>201</v>
      </c>
      <c r="B27" s="54">
        <v>45512</v>
      </c>
      <c r="C27" s="55">
        <v>1</v>
      </c>
      <c r="D27" s="55">
        <v>1000</v>
      </c>
      <c r="E27" s="55">
        <f>C27*D27</f>
        <v>1000</v>
      </c>
      <c r="F27" s="56">
        <v>95</v>
      </c>
      <c r="G27" s="61" t="s">
        <v>202</v>
      </c>
      <c r="H27" s="61"/>
      <c r="J27" s="40" t="s">
        <v>189</v>
      </c>
      <c r="K27" s="40">
        <f>SUMIF(COMPRAS!A3:A183,"DICARZOL 500 SP 12 X 500 GRS",COMPRAS!E3:E183)</f>
        <v>500</v>
      </c>
      <c r="L27" s="56">
        <f>SUMIF(COMPRAS!A3:A183,"DICARZOL 500 SP 12 X 500 GRS",COMPRAS!F3:F183)</f>
        <v>380</v>
      </c>
      <c r="M27" s="76">
        <f t="shared" si="1"/>
        <v>0.76</v>
      </c>
    </row>
    <row r="28" spans="1:14" x14ac:dyDescent="0.3">
      <c r="A28" s="40" t="s">
        <v>40</v>
      </c>
      <c r="B28" s="54">
        <v>45520</v>
      </c>
      <c r="C28" s="55">
        <v>10</v>
      </c>
      <c r="D28" s="55">
        <v>25</v>
      </c>
      <c r="E28" s="55">
        <f>C28*D28</f>
        <v>250</v>
      </c>
      <c r="F28" s="56">
        <v>2260</v>
      </c>
      <c r="G28" s="61" t="s">
        <v>124</v>
      </c>
      <c r="H28" s="61" t="s">
        <v>169</v>
      </c>
      <c r="J28" s="40" t="s">
        <v>79</v>
      </c>
      <c r="K28" s="29">
        <f>SUMIF(COMPRAS!A3:A183,"DISPAROULTRA-S - GL DE 5 LITROS",COMPRAS!E3:E183)</f>
        <v>5000</v>
      </c>
      <c r="L28" s="31">
        <f>SUMIF(COMPRAS!A3:A183,"DISPAROULTRA-S - GL DE 5 LITROS",COMPRAS!F3:F183)</f>
        <v>140</v>
      </c>
      <c r="M28" s="76">
        <f t="shared" si="1"/>
        <v>2.8000000000000001E-2</v>
      </c>
      <c r="N28" s="25"/>
    </row>
    <row r="29" spans="1:14" x14ac:dyDescent="0.3">
      <c r="A29" s="40" t="s">
        <v>101</v>
      </c>
      <c r="B29" s="54">
        <v>45520</v>
      </c>
      <c r="C29" s="55">
        <v>4</v>
      </c>
      <c r="D29" s="55">
        <v>5000</v>
      </c>
      <c r="E29" s="55">
        <f>C29*D29</f>
        <v>20000</v>
      </c>
      <c r="F29" s="56">
        <v>660</v>
      </c>
      <c r="G29" s="61" t="s">
        <v>124</v>
      </c>
      <c r="H29" s="61" t="s">
        <v>169</v>
      </c>
      <c r="J29" s="40" t="s">
        <v>80</v>
      </c>
      <c r="K29" s="29">
        <f>SUMIF(COMPRAS!A3:A183,"DOMINUM XT-S - GL 5 LITROS",COMPRAS!E3:E183)</f>
        <v>10000</v>
      </c>
      <c r="L29" s="31">
        <f>SUMIF(COMPRAS!A3:A183,"DOMINUM XT-S - GL 5 LITROS",COMPRAS!F3:F183)</f>
        <v>1280</v>
      </c>
      <c r="M29" s="76">
        <f t="shared" si="1"/>
        <v>0.128</v>
      </c>
      <c r="N29" s="25"/>
    </row>
    <row r="30" spans="1:14" x14ac:dyDescent="0.3">
      <c r="A30" s="40" t="s">
        <v>26</v>
      </c>
      <c r="B30" s="54">
        <v>45520</v>
      </c>
      <c r="C30" s="55">
        <v>3</v>
      </c>
      <c r="D30" s="55">
        <v>5000</v>
      </c>
      <c r="E30" s="55">
        <f>C30*D30</f>
        <v>15000</v>
      </c>
      <c r="F30" s="56">
        <v>480</v>
      </c>
      <c r="G30" s="61" t="s">
        <v>124</v>
      </c>
      <c r="H30" s="61" t="s">
        <v>169</v>
      </c>
      <c r="J30" s="40" t="s">
        <v>116</v>
      </c>
      <c r="K30" s="40">
        <f>SUMIF(COMPRAS!A3:A183,"DRIPSOL BORO K 00.00.01+17% BORO 25 k",COMPRAS!E3:E183)</f>
        <v>25</v>
      </c>
      <c r="L30" s="56">
        <f>SUMIF(COMPRAS!A3:A183,"DRIPSOL BORO K 00.00.01+17% BORO 25 k",COMPRAS!F3:F183)</f>
        <v>285</v>
      </c>
      <c r="M30" s="76">
        <f t="shared" si="1"/>
        <v>11.4</v>
      </c>
    </row>
    <row r="31" spans="1:14" x14ac:dyDescent="0.3">
      <c r="A31" s="40" t="s">
        <v>44</v>
      </c>
      <c r="B31" s="54">
        <v>45524</v>
      </c>
      <c r="C31" s="55">
        <v>3</v>
      </c>
      <c r="D31" s="55">
        <v>25</v>
      </c>
      <c r="E31" s="55">
        <f>C31*D31</f>
        <v>75</v>
      </c>
      <c r="F31" s="56">
        <v>210</v>
      </c>
      <c r="G31" s="61" t="s">
        <v>125</v>
      </c>
      <c r="H31" s="61" t="s">
        <v>169</v>
      </c>
      <c r="J31" s="40" t="s">
        <v>109</v>
      </c>
      <c r="K31" s="29">
        <f>SUMIF(COMPRAS!A3:A183,"DRIPSOL CRESCIMENTO 24-10-10 25 KG",COMPRAS!E3:E183)</f>
        <v>25</v>
      </c>
      <c r="L31" s="31">
        <f>SUMIF(COMPRAS!A3:A183,"DRIPSOL CRESCIMENTO 24-10-10 25 KG",COMPRAS!F3:F183)</f>
        <v>265</v>
      </c>
      <c r="M31" s="76">
        <f t="shared" si="1"/>
        <v>10.6</v>
      </c>
      <c r="N31" s="25"/>
    </row>
    <row r="32" spans="1:14" x14ac:dyDescent="0.3">
      <c r="A32" s="61" t="s">
        <v>47</v>
      </c>
      <c r="B32" s="54">
        <v>45524</v>
      </c>
      <c r="C32" s="55">
        <v>2</v>
      </c>
      <c r="D32" s="55">
        <v>700</v>
      </c>
      <c r="E32" s="55">
        <f>C32*D32</f>
        <v>1400</v>
      </c>
      <c r="F32" s="56">
        <v>116</v>
      </c>
      <c r="G32" s="61" t="s">
        <v>125</v>
      </c>
      <c r="H32" s="61" t="s">
        <v>169</v>
      </c>
      <c r="J32" s="40" t="s">
        <v>40</v>
      </c>
      <c r="K32" s="29">
        <f>SUMIF(COMPRAS!A3:A183,"DRIPSOL INICIAL 15-30-15 25 KG",COMPRAS!E3:E183)</f>
        <v>325</v>
      </c>
      <c r="L32" s="31">
        <f>SUMIF(COMPRAS!A3:A183,"DRIPSOL INICIAL 15-30-15 25 KG",COMPRAS!F3:F183)</f>
        <v>3015</v>
      </c>
      <c r="M32" s="76">
        <f t="shared" si="1"/>
        <v>9.2769230769230777</v>
      </c>
      <c r="N32" s="25"/>
    </row>
    <row r="33" spans="1:14" x14ac:dyDescent="0.3">
      <c r="A33" s="40" t="s">
        <v>48</v>
      </c>
      <c r="B33" s="54">
        <v>45524</v>
      </c>
      <c r="C33" s="55">
        <v>5</v>
      </c>
      <c r="D33" s="55">
        <v>25</v>
      </c>
      <c r="E33" s="55">
        <f>C33*D33</f>
        <v>125</v>
      </c>
      <c r="F33" s="56">
        <v>1325</v>
      </c>
      <c r="G33" s="61" t="s">
        <v>125</v>
      </c>
      <c r="H33" s="61" t="s">
        <v>169</v>
      </c>
      <c r="J33" s="40" t="s">
        <v>47</v>
      </c>
      <c r="K33" s="29">
        <f>SUMIF(COMPRAS!A3:A183,"DRIPSOL MICRO REXENE 700 GRAMAS",COMPRAS!E3:E183)</f>
        <v>1400</v>
      </c>
      <c r="L33" s="31">
        <f>SUMIF(COMPRAS!A3:A183,"DRIPSOL MICRO REXENE 700 GRAMAS",COMPRAS!F3:F183)</f>
        <v>116</v>
      </c>
      <c r="M33" s="76">
        <f t="shared" si="1"/>
        <v>8.2857142857142851E-2</v>
      </c>
      <c r="N33" s="25"/>
    </row>
    <row r="34" spans="1:14" x14ac:dyDescent="0.3">
      <c r="A34" s="61" t="s">
        <v>45</v>
      </c>
      <c r="B34" s="54">
        <v>45524</v>
      </c>
      <c r="C34" s="55">
        <v>3</v>
      </c>
      <c r="D34" s="55">
        <v>1000</v>
      </c>
      <c r="E34" s="55">
        <f>C34*D34</f>
        <v>3000</v>
      </c>
      <c r="F34" s="56">
        <v>210</v>
      </c>
      <c r="G34" s="61" t="s">
        <v>125</v>
      </c>
      <c r="H34" s="61" t="s">
        <v>169</v>
      </c>
      <c r="J34" s="40" t="s">
        <v>48</v>
      </c>
      <c r="K34" s="29">
        <f>SUMIF(COMPRAS!A3:A183,"DRIPSOL MULTIPROPOSITO-18-18-18 25 K",COMPRAS!E3:E183)</f>
        <v>550</v>
      </c>
      <c r="L34" s="31">
        <f>SUMIF(COMPRAS!A3:A183,"DRIPSOL MULTIPROPOSITO-18-18-18 25 K",COMPRAS!F3:F183)</f>
        <v>5808</v>
      </c>
      <c r="M34" s="76">
        <f t="shared" si="1"/>
        <v>10.56</v>
      </c>
      <c r="N34" s="25"/>
    </row>
    <row r="35" spans="1:14" x14ac:dyDescent="0.3">
      <c r="A35" s="40" t="s">
        <v>53</v>
      </c>
      <c r="B35" s="54">
        <v>45524</v>
      </c>
      <c r="C35" s="55">
        <v>3</v>
      </c>
      <c r="D35" s="55">
        <v>25</v>
      </c>
      <c r="E35" s="55">
        <f>C35*D35</f>
        <v>75</v>
      </c>
      <c r="F35" s="56">
        <v>270</v>
      </c>
      <c r="G35" s="61" t="s">
        <v>125</v>
      </c>
      <c r="H35" s="61" t="s">
        <v>169</v>
      </c>
      <c r="J35" s="40" t="s">
        <v>56</v>
      </c>
      <c r="K35" s="29">
        <f>SUMIF(COMPRAS!A3:A183,"DRIPSOL PRODUÇÃO 12-06-40 25K",COMPRAS!E3:E183)</f>
        <v>25</v>
      </c>
      <c r="L35" s="31">
        <f>SUMIF(COMPRAS!A3:A183,"DRIPSOL PRODUÇÃO 12-06-40 25K",COMPRAS!F3:F183)</f>
        <v>275</v>
      </c>
      <c r="M35" s="76">
        <f t="shared" si="1"/>
        <v>11</v>
      </c>
      <c r="N35" s="25"/>
    </row>
    <row r="36" spans="1:14" x14ac:dyDescent="0.3">
      <c r="A36" s="61" t="s">
        <v>49</v>
      </c>
      <c r="B36" s="54">
        <v>45524</v>
      </c>
      <c r="C36" s="55">
        <v>1</v>
      </c>
      <c r="D36" s="55">
        <v>5000</v>
      </c>
      <c r="E36" s="55">
        <f>C36*D36</f>
        <v>5000</v>
      </c>
      <c r="F36" s="56">
        <v>163</v>
      </c>
      <c r="G36" s="61" t="s">
        <v>125</v>
      </c>
      <c r="H36" s="61" t="s">
        <v>169</v>
      </c>
      <c r="J36" s="40" t="s">
        <v>22</v>
      </c>
      <c r="K36" s="29">
        <f>SUMIF(COMPRAS!A3:A183,"ELEITTO",COMPRAS!E3:E183)</f>
        <v>1000</v>
      </c>
      <c r="L36" s="31">
        <f>SUMIF(COMPRAS!A3:A183,"ELEITTO",COMPRAS!F3:F183)</f>
        <v>330</v>
      </c>
      <c r="M36" s="76">
        <f t="shared" si="1"/>
        <v>0.33</v>
      </c>
      <c r="N36" s="25"/>
    </row>
    <row r="37" spans="1:14" x14ac:dyDescent="0.3">
      <c r="A37" s="40" t="s">
        <v>46</v>
      </c>
      <c r="B37" s="54">
        <v>45524</v>
      </c>
      <c r="C37" s="55">
        <v>3</v>
      </c>
      <c r="D37" s="55">
        <v>25</v>
      </c>
      <c r="E37" s="55">
        <f>C37*D37</f>
        <v>75</v>
      </c>
      <c r="F37" s="56">
        <v>360</v>
      </c>
      <c r="G37" s="61" t="s">
        <v>125</v>
      </c>
      <c r="H37" s="61" t="s">
        <v>169</v>
      </c>
      <c r="J37" s="40" t="s">
        <v>37</v>
      </c>
      <c r="K37" s="29">
        <f>SUMIF(COMPRAS!A3:A183,"FERTIUM LIQUIDO 5L",COMPRAS!E3:E183)</f>
        <v>1000</v>
      </c>
      <c r="L37" s="31">
        <f>SUMIF(COMPRAS!A3:A183,"FERTIUM LIQUIDO 5L",COMPRAS!F3:F183)</f>
        <v>217</v>
      </c>
      <c r="M37" s="76">
        <f t="shared" si="1"/>
        <v>0.217</v>
      </c>
      <c r="N37" s="25"/>
    </row>
    <row r="38" spans="1:14" x14ac:dyDescent="0.3">
      <c r="A38" s="40" t="s">
        <v>54</v>
      </c>
      <c r="B38" s="54">
        <v>45524</v>
      </c>
      <c r="C38" s="55">
        <v>3</v>
      </c>
      <c r="D38" s="55">
        <v>25</v>
      </c>
      <c r="E38" s="55">
        <f>C38*D38</f>
        <v>75</v>
      </c>
      <c r="F38" s="56">
        <v>234</v>
      </c>
      <c r="G38" s="61" t="s">
        <v>125</v>
      </c>
      <c r="H38" s="61" t="s">
        <v>169</v>
      </c>
      <c r="J38" s="40" t="s">
        <v>89</v>
      </c>
      <c r="K38" s="29">
        <f>SUMIF(COMPRAS!A3:A183,"FITILHO VIRGEM NOVELO NR 08",COMPRAS!E3:E183)</f>
        <v>2</v>
      </c>
      <c r="L38" s="31">
        <f>SUMIF(COMPRAS!A4:A184,"FITILHO VIRGEM NOVELO NR 08",COMPRAS!F4:F184)</f>
        <v>80</v>
      </c>
      <c r="M38" s="76">
        <f t="shared" si="1"/>
        <v>40</v>
      </c>
      <c r="N38" s="25"/>
    </row>
    <row r="39" spans="1:14" x14ac:dyDescent="0.3">
      <c r="A39" s="40" t="s">
        <v>25</v>
      </c>
      <c r="B39" s="54">
        <v>45524</v>
      </c>
      <c r="C39" s="55">
        <v>6</v>
      </c>
      <c r="D39" s="55">
        <v>25</v>
      </c>
      <c r="E39" s="55">
        <f>C39*D39</f>
        <v>150</v>
      </c>
      <c r="F39" s="56">
        <v>1020</v>
      </c>
      <c r="G39" s="61" t="s">
        <v>125</v>
      </c>
      <c r="H39" s="61" t="s">
        <v>169</v>
      </c>
      <c r="J39" s="61" t="s">
        <v>100</v>
      </c>
      <c r="K39" s="29">
        <f>SUMIF(COMPRAS!A3:A183,"FRETE CAIXAS TOMATE",COMPRAS!E3:E183)</f>
        <v>350</v>
      </c>
      <c r="L39" s="31">
        <f>SUMIF(COMPRAS!A3:A183,"FRETE CAIXAS TOMATE",COMPRAS!F3:F183)</f>
        <v>825</v>
      </c>
      <c r="M39" s="76">
        <f t="shared" si="1"/>
        <v>2.3571428571428572</v>
      </c>
      <c r="N39" s="8"/>
    </row>
    <row r="40" spans="1:14" x14ac:dyDescent="0.3">
      <c r="A40" s="40" t="s">
        <v>234</v>
      </c>
      <c r="B40" s="54">
        <v>45527</v>
      </c>
      <c r="C40" s="55">
        <v>4</v>
      </c>
      <c r="D40" s="55">
        <v>2</v>
      </c>
      <c r="E40" s="55">
        <f>C40*D40</f>
        <v>8</v>
      </c>
      <c r="F40" s="56">
        <v>540</v>
      </c>
      <c r="G40" s="61" t="s">
        <v>232</v>
      </c>
      <c r="H40" s="61"/>
      <c r="J40" s="40" t="s">
        <v>67</v>
      </c>
      <c r="K40" s="29">
        <f>SUMIF(COMPRAS!A3:A183,"FTE 25K",COMPRAS!E3:E183)</f>
        <v>25</v>
      </c>
      <c r="L40" s="31">
        <f>SUMIF(COMPRAS!A3:A183,"FTE 25K",COMPRAS!F3:F183)</f>
        <v>110</v>
      </c>
      <c r="M40" s="76">
        <f t="shared" si="1"/>
        <v>4.4000000000000004</v>
      </c>
      <c r="N40" s="25"/>
    </row>
    <row r="41" spans="1:14" x14ac:dyDescent="0.3">
      <c r="A41" s="40" t="s">
        <v>35</v>
      </c>
      <c r="B41" s="54">
        <v>45530</v>
      </c>
      <c r="C41" s="55">
        <v>1</v>
      </c>
      <c r="D41" s="55">
        <v>1000</v>
      </c>
      <c r="E41" s="55">
        <f>C41*D41</f>
        <v>1000</v>
      </c>
      <c r="F41" s="56">
        <v>205</v>
      </c>
      <c r="G41" s="61" t="s">
        <v>126</v>
      </c>
      <c r="H41" s="61" t="s">
        <v>169</v>
      </c>
      <c r="J41" s="40" t="s">
        <v>101</v>
      </c>
      <c r="K41" s="29">
        <f>SUMIF(COMPRAS!A3:A183,"FULVUMIM 5 LITROS",COMPRAS!E3:E183)</f>
        <v>70000</v>
      </c>
      <c r="L41" s="31">
        <f>SUMIF(COMPRAS!A3:A183,"FULVUMIM 5 LITROS",COMPRAS!F3:F183)</f>
        <v>1810</v>
      </c>
      <c r="M41" s="76">
        <f t="shared" si="1"/>
        <v>2.5857142857142856E-2</v>
      </c>
      <c r="N41" s="25"/>
    </row>
    <row r="42" spans="1:14" x14ac:dyDescent="0.3">
      <c r="A42" s="40" t="s">
        <v>50</v>
      </c>
      <c r="B42" s="54">
        <v>45530</v>
      </c>
      <c r="C42" s="55">
        <v>1</v>
      </c>
      <c r="D42" s="55">
        <v>5000</v>
      </c>
      <c r="E42" s="55">
        <f>C42*D42</f>
        <v>5000</v>
      </c>
      <c r="F42" s="56">
        <v>230</v>
      </c>
      <c r="G42" s="61" t="s">
        <v>127</v>
      </c>
      <c r="H42" s="61" t="s">
        <v>169</v>
      </c>
      <c r="J42" s="40" t="s">
        <v>45</v>
      </c>
      <c r="K42" s="29">
        <f>SUMIF(COMPRAS!A3:A183,"FYLLOTON 12X1 1 LITRO",COMPRAS!E3:E183)</f>
        <v>9000</v>
      </c>
      <c r="L42" s="31">
        <f>SUMIF(COMPRAS!A3:A183,"FYLLOTON 12X1 1 LITRO",COMPRAS!F3:F183)</f>
        <v>605</v>
      </c>
      <c r="M42" s="76">
        <f t="shared" si="1"/>
        <v>6.7222222222222225E-2</v>
      </c>
      <c r="N42" s="25"/>
    </row>
    <row r="43" spans="1:14" x14ac:dyDescent="0.3">
      <c r="A43" s="40" t="s">
        <v>51</v>
      </c>
      <c r="B43" s="54">
        <v>45530</v>
      </c>
      <c r="C43" s="55">
        <v>1</v>
      </c>
      <c r="D43" s="55">
        <v>25</v>
      </c>
      <c r="E43" s="55">
        <f>C43*D43</f>
        <v>25</v>
      </c>
      <c r="F43" s="56">
        <v>700</v>
      </c>
      <c r="G43" s="61" t="s">
        <v>127</v>
      </c>
      <c r="H43" s="61" t="s">
        <v>169</v>
      </c>
      <c r="J43" s="40" t="s">
        <v>50</v>
      </c>
      <c r="K43" s="29">
        <f>SUMIF(COMPRAS!A3:A183,"GLIBOR CA 5L",COMPRAS!E3:E183)</f>
        <v>5000</v>
      </c>
      <c r="L43" s="31">
        <f>SUMIF(COMPRAS!A3:A183,"GLIBOR CA 5L",COMPRAS!F3:F183)</f>
        <v>230</v>
      </c>
      <c r="M43" s="76">
        <f t="shared" si="1"/>
        <v>4.5999999999999999E-2</v>
      </c>
      <c r="N43" s="25"/>
    </row>
    <row r="44" spans="1:14" x14ac:dyDescent="0.3">
      <c r="A44" s="40" t="s">
        <v>52</v>
      </c>
      <c r="B44" s="54">
        <v>45530</v>
      </c>
      <c r="C44" s="55">
        <v>1</v>
      </c>
      <c r="D44" s="55">
        <v>1000</v>
      </c>
      <c r="E44" s="55">
        <f>C44*D44</f>
        <v>1000</v>
      </c>
      <c r="F44" s="56">
        <v>260</v>
      </c>
      <c r="G44" s="61" t="s">
        <v>126</v>
      </c>
      <c r="H44" s="61" t="s">
        <v>169</v>
      </c>
      <c r="J44" s="40" t="s">
        <v>106</v>
      </c>
      <c r="K44" s="29">
        <f>SUMIF(COMPRAS!A3:A183,"GLIMAN 30 4X5 KG",COMPRAS!E3:E183)</f>
        <v>5000</v>
      </c>
      <c r="L44" s="31">
        <f>SUMIF(COMPRAS!A3:A183,"GLIMAN 30 4X5 KG",COMPRAS!F3:F183)</f>
        <v>200</v>
      </c>
      <c r="M44" s="76">
        <f t="shared" si="1"/>
        <v>0.04</v>
      </c>
    </row>
    <row r="45" spans="1:14" x14ac:dyDescent="0.3">
      <c r="A45" s="40" t="s">
        <v>31</v>
      </c>
      <c r="B45" s="54">
        <v>45530</v>
      </c>
      <c r="C45" s="55">
        <v>1</v>
      </c>
      <c r="D45" s="55">
        <v>5000</v>
      </c>
      <c r="E45" s="55">
        <f>C45*D45</f>
        <v>5000</v>
      </c>
      <c r="F45" s="56">
        <v>340</v>
      </c>
      <c r="G45" s="61" t="s">
        <v>127</v>
      </c>
      <c r="H45" s="61" t="s">
        <v>169</v>
      </c>
      <c r="J45" s="40" t="s">
        <v>103</v>
      </c>
      <c r="K45" s="29">
        <f>SUMIF(COMPRAS!A3:A183,"INTREPID240 SC -1 L",COMPRAS!E3:E183)</f>
        <v>1000</v>
      </c>
      <c r="L45" s="31">
        <f>SUMIF(COMPRAS!A3:A183,"INTREPID240 SC -1 L",COMPRAS!F3:F183)</f>
        <v>180</v>
      </c>
      <c r="M45" s="76">
        <f t="shared" si="1"/>
        <v>0.18</v>
      </c>
      <c r="N45" s="25"/>
    </row>
    <row r="46" spans="1:14" x14ac:dyDescent="0.3">
      <c r="A46" s="40" t="s">
        <v>26</v>
      </c>
      <c r="B46" s="54">
        <v>45530</v>
      </c>
      <c r="C46" s="55">
        <v>1</v>
      </c>
      <c r="D46" s="55">
        <v>5000</v>
      </c>
      <c r="E46" s="55">
        <f>C46*D46</f>
        <v>5000</v>
      </c>
      <c r="F46" s="56">
        <v>160</v>
      </c>
      <c r="G46" s="61" t="s">
        <v>127</v>
      </c>
      <c r="H46" s="61" t="s">
        <v>169</v>
      </c>
      <c r="J46" s="40" t="s">
        <v>21</v>
      </c>
      <c r="K46" s="29">
        <f>SUMIF(COMPRAS!A3:A183,"JOINER",COMPRAS!E3:E183)</f>
        <v>1000</v>
      </c>
      <c r="L46" s="31">
        <f>SUMIF(COMPRAS!A3:A183,"JOINER",COMPRAS!F3:F183)</f>
        <v>2284</v>
      </c>
      <c r="M46" s="76">
        <f t="shared" si="1"/>
        <v>2.2839999999999998</v>
      </c>
      <c r="N46" s="25"/>
    </row>
    <row r="47" spans="1:14" x14ac:dyDescent="0.3">
      <c r="A47" s="40" t="s">
        <v>36</v>
      </c>
      <c r="B47" s="54">
        <v>45531</v>
      </c>
      <c r="C47" s="55">
        <v>1</v>
      </c>
      <c r="D47" s="55">
        <v>1000</v>
      </c>
      <c r="E47" s="55">
        <f>C47*D47</f>
        <v>1000</v>
      </c>
      <c r="F47" s="56">
        <v>160</v>
      </c>
      <c r="G47" s="61" t="s">
        <v>203</v>
      </c>
      <c r="H47" s="61"/>
      <c r="J47" s="61" t="s">
        <v>64</v>
      </c>
      <c r="K47" s="29">
        <f>SUMIF(COMPRAS!A3:A183,"K BOMBER 56 8X2 5 KILOS ",COMPRAS!E3:E183)</f>
        <v>5000</v>
      </c>
      <c r="L47" s="31">
        <f>SUMIF(COMPRAS!A3:A183,"K BOMBER 56 8X2 5 KILOS ",COMPRAS!F3:F183)</f>
        <v>120</v>
      </c>
      <c r="M47" s="76">
        <f t="shared" si="1"/>
        <v>2.4E-2</v>
      </c>
      <c r="N47" s="8"/>
    </row>
    <row r="48" spans="1:14" x14ac:dyDescent="0.3">
      <c r="A48" s="40" t="s">
        <v>53</v>
      </c>
      <c r="B48" s="54">
        <v>45537</v>
      </c>
      <c r="C48" s="55">
        <v>4</v>
      </c>
      <c r="D48" s="55">
        <v>25</v>
      </c>
      <c r="E48" s="55">
        <f>C48*D48</f>
        <v>100</v>
      </c>
      <c r="F48" s="56">
        <v>360</v>
      </c>
      <c r="G48" s="61" t="s">
        <v>128</v>
      </c>
      <c r="H48" s="61" t="s">
        <v>172</v>
      </c>
      <c r="J48" s="40" t="s">
        <v>84</v>
      </c>
      <c r="K48" s="29">
        <f>SUMIF(COMPRAS!A3:A183,"KIT COSTAL AZR PLUS - EPI",COMPRAS!E3:E183)</f>
        <v>1</v>
      </c>
      <c r="L48" s="31">
        <f>SUMIF(COMPRAS!A3:A183,"KIT COSTAL AZR PLUS - EPI",COMPRAS!F3:F183)</f>
        <v>110</v>
      </c>
      <c r="M48" s="76">
        <f t="shared" si="1"/>
        <v>110</v>
      </c>
      <c r="N48" s="25"/>
    </row>
    <row r="49" spans="1:14" x14ac:dyDescent="0.3">
      <c r="A49" s="40" t="s">
        <v>23</v>
      </c>
      <c r="B49" s="54">
        <v>45538</v>
      </c>
      <c r="C49" s="55">
        <v>4</v>
      </c>
      <c r="D49" s="55">
        <v>250</v>
      </c>
      <c r="E49" s="55">
        <f>C49*D49</f>
        <v>1000</v>
      </c>
      <c r="F49" s="56">
        <v>390</v>
      </c>
      <c r="G49" s="61" t="s">
        <v>129</v>
      </c>
      <c r="H49" s="61" t="s">
        <v>171</v>
      </c>
      <c r="J49" s="40" t="s">
        <v>193</v>
      </c>
      <c r="K49" s="40">
        <f>SUMIF(COMPRAS!A3:A183,"KLORPAN 480 CE -1 LITRO",COMPRAS!E3:E183)</f>
        <v>21000</v>
      </c>
      <c r="L49" s="31">
        <f>SUMIF(COMPRAS!A3:A183,"KLORPAN 480 CE -1 LITRO",COMPRAS!F3:F183)</f>
        <v>790</v>
      </c>
      <c r="M49" s="76">
        <f t="shared" si="1"/>
        <v>3.7619047619047621E-2</v>
      </c>
    </row>
    <row r="50" spans="1:14" x14ac:dyDescent="0.3">
      <c r="A50" s="40" t="s">
        <v>68</v>
      </c>
      <c r="B50" s="54">
        <v>45538</v>
      </c>
      <c r="C50" s="55">
        <v>1</v>
      </c>
      <c r="D50" s="55">
        <v>1000</v>
      </c>
      <c r="E50" s="55">
        <f>C50*D50</f>
        <v>1000</v>
      </c>
      <c r="F50" s="56">
        <v>375</v>
      </c>
      <c r="G50" s="61" t="s">
        <v>204</v>
      </c>
      <c r="H50" s="61"/>
      <c r="J50" s="23" t="s">
        <v>95</v>
      </c>
      <c r="K50" s="40">
        <f>SUMIF(COMPRAS!A3:A183,"LANNATE",COMPRAS!E3:E183)</f>
        <v>1000</v>
      </c>
      <c r="L50" s="56">
        <f>SUMIF(COMPRAS!A3:A183,"LANNATE",COMPRAS!F3:F183)</f>
        <v>50</v>
      </c>
      <c r="M50" s="76">
        <f t="shared" si="1"/>
        <v>0.05</v>
      </c>
      <c r="N50" s="25"/>
    </row>
    <row r="51" spans="1:14" x14ac:dyDescent="0.3">
      <c r="A51" s="40" t="s">
        <v>53</v>
      </c>
      <c r="B51" s="54">
        <v>45540</v>
      </c>
      <c r="C51" s="55">
        <v>3</v>
      </c>
      <c r="D51" s="55">
        <v>25</v>
      </c>
      <c r="E51" s="55">
        <f>C51*D51</f>
        <v>75</v>
      </c>
      <c r="F51" s="56">
        <v>270</v>
      </c>
      <c r="G51" s="61" t="s">
        <v>130</v>
      </c>
      <c r="H51" s="61" t="s">
        <v>171</v>
      </c>
      <c r="J51" s="40" t="s">
        <v>118</v>
      </c>
      <c r="K51" s="40">
        <f>SUMIF(COMPRAS!A3:A183,"MASTER 20-20-20 25 KG",COMPRAS!E3:E183)</f>
        <v>50</v>
      </c>
      <c r="L51" s="56">
        <f>SUMIF(COMPRAS!A3:A183,"MASTER 20-20-20 25 KG",COMPRAS!F3:F183)</f>
        <v>580</v>
      </c>
      <c r="M51" s="76">
        <f t="shared" si="1"/>
        <v>11.6</v>
      </c>
    </row>
    <row r="52" spans="1:14" x14ac:dyDescent="0.3">
      <c r="A52" s="40" t="s">
        <v>105</v>
      </c>
      <c r="B52" s="54">
        <v>45540</v>
      </c>
      <c r="C52" s="55">
        <v>3</v>
      </c>
      <c r="D52" s="55">
        <v>1000</v>
      </c>
      <c r="E52" s="55">
        <f>C52*D52</f>
        <v>3000</v>
      </c>
      <c r="F52" s="56">
        <v>1650</v>
      </c>
      <c r="G52" s="61" t="s">
        <v>131</v>
      </c>
      <c r="H52" s="61" t="s">
        <v>132</v>
      </c>
      <c r="J52" s="61" t="s">
        <v>63</v>
      </c>
      <c r="K52" s="29">
        <f>SUMIF(COMPRAS!A3:A183,"MAXIHUN 5 L",COMPRAS!E3:E183)</f>
        <v>5000</v>
      </c>
      <c r="L52" s="31">
        <f>SUMIF(COMPRAS!A3:A183,"MAXIHUN 5 L",COMPRAS!F3:F183)</f>
        <v>115</v>
      </c>
      <c r="M52" s="76">
        <f t="shared" si="1"/>
        <v>2.3E-2</v>
      </c>
      <c r="N52" s="8"/>
    </row>
    <row r="53" spans="1:14" x14ac:dyDescent="0.3">
      <c r="A53" s="40" t="s">
        <v>104</v>
      </c>
      <c r="B53" s="54">
        <v>45540</v>
      </c>
      <c r="C53" s="55">
        <v>2</v>
      </c>
      <c r="D53" s="55">
        <v>1000</v>
      </c>
      <c r="E53" s="55">
        <f>C53*D53</f>
        <v>2000</v>
      </c>
      <c r="F53" s="56">
        <v>1000</v>
      </c>
      <c r="G53" s="61" t="s">
        <v>131</v>
      </c>
      <c r="H53" s="61" t="s">
        <v>132</v>
      </c>
      <c r="J53" s="40" t="s">
        <v>51</v>
      </c>
      <c r="K53" s="29">
        <f>SUMIF(COMPRAS!A3:A183,"MICROCOMPLEX 1X25  25K",COMPRAS!E3:E183)</f>
        <v>25</v>
      </c>
      <c r="L53" s="31">
        <f>SUMIF(COMPRAS!A3:A183,"MICROCOMPLEX 1X25  25K",COMPRAS!F3:F183)</f>
        <v>700</v>
      </c>
      <c r="M53" s="76">
        <f t="shared" si="1"/>
        <v>28</v>
      </c>
      <c r="N53" s="25"/>
    </row>
    <row r="54" spans="1:14" x14ac:dyDescent="0.3">
      <c r="A54" s="40" t="s">
        <v>54</v>
      </c>
      <c r="B54" s="54">
        <v>45540</v>
      </c>
      <c r="C54" s="55">
        <v>1</v>
      </c>
      <c r="D54" s="55">
        <v>25</v>
      </c>
      <c r="E54" s="55">
        <f>C54*D54</f>
        <v>25</v>
      </c>
      <c r="F54" s="56">
        <v>90</v>
      </c>
      <c r="G54" s="61" t="s">
        <v>130</v>
      </c>
      <c r="H54" s="61" t="s">
        <v>171</v>
      </c>
      <c r="J54" s="40" t="s">
        <v>66</v>
      </c>
      <c r="K54" s="29">
        <f>SUMIF(COMPRAS!A3:A183,"MINECTO PRO 12X1LT",COMPRAS!E3:E183)</f>
        <v>1000</v>
      </c>
      <c r="L54" s="31">
        <f>SUMIF(COMPRAS!A3:A183,"MINECTO PRO 12X1LT",COMPRAS!F3:F183)</f>
        <v>230</v>
      </c>
      <c r="M54" s="76">
        <f t="shared" si="1"/>
        <v>0.23</v>
      </c>
      <c r="N54" s="25"/>
    </row>
    <row r="55" spans="1:14" x14ac:dyDescent="0.3">
      <c r="A55" s="40" t="s">
        <v>39</v>
      </c>
      <c r="B55" s="54">
        <v>45545</v>
      </c>
      <c r="C55" s="55">
        <v>1</v>
      </c>
      <c r="D55" s="55">
        <v>5000</v>
      </c>
      <c r="E55" s="55">
        <f>C55*D55</f>
        <v>5000</v>
      </c>
      <c r="F55" s="56">
        <v>220</v>
      </c>
      <c r="G55" s="61" t="s">
        <v>205</v>
      </c>
      <c r="H55" s="61"/>
      <c r="J55" s="40" t="s">
        <v>52</v>
      </c>
      <c r="K55" s="29">
        <f>SUMIF(COMPRAS!A3:A183,"MIRAVIS DUO 1 LITRO",COMPRAS!E3:E183)</f>
        <v>1000</v>
      </c>
      <c r="L55" s="31">
        <f>SUMIF(COMPRAS!A3:A183,"MIRAVIS DUO 1 LITRO",COMPRAS!F3:F183)</f>
        <v>260</v>
      </c>
      <c r="M55" s="76">
        <f t="shared" si="1"/>
        <v>0.26</v>
      </c>
      <c r="N55" s="25"/>
    </row>
    <row r="56" spans="1:14" x14ac:dyDescent="0.3">
      <c r="A56" s="40" t="s">
        <v>38</v>
      </c>
      <c r="B56" s="54">
        <v>45545</v>
      </c>
      <c r="C56" s="55">
        <v>1</v>
      </c>
      <c r="D56" s="55">
        <v>1000</v>
      </c>
      <c r="E56" s="55">
        <f>C56*D56</f>
        <v>1000</v>
      </c>
      <c r="F56" s="56">
        <v>120</v>
      </c>
      <c r="G56" s="61" t="s">
        <v>205</v>
      </c>
      <c r="H56" s="61"/>
      <c r="J56" s="40" t="s">
        <v>69</v>
      </c>
      <c r="K56" s="29">
        <f>SUMIF(COMPRAS!A3:A183,"MULTICARE 1L",COMPRAS!E3:E183)</f>
        <v>1000</v>
      </c>
      <c r="L56" s="31">
        <f>SUMIF(COMPRAS!A3:A183,"MULTICARE 1L",COMPRAS!F3:F183)</f>
        <v>52</v>
      </c>
      <c r="M56" s="76">
        <f t="shared" si="1"/>
        <v>5.1999999999999998E-2</v>
      </c>
      <c r="N56" s="25"/>
    </row>
    <row r="57" spans="1:14" x14ac:dyDescent="0.3">
      <c r="A57" s="40" t="s">
        <v>48</v>
      </c>
      <c r="B57" s="54">
        <v>45548</v>
      </c>
      <c r="C57" s="55">
        <v>7</v>
      </c>
      <c r="D57" s="55">
        <v>25</v>
      </c>
      <c r="E57" s="55">
        <f>C57*D57</f>
        <v>175</v>
      </c>
      <c r="F57" s="56">
        <v>1855</v>
      </c>
      <c r="G57" s="61" t="s">
        <v>133</v>
      </c>
      <c r="H57" s="61" t="s">
        <v>171</v>
      </c>
      <c r="J57" s="40" t="s">
        <v>53</v>
      </c>
      <c r="K57" s="29">
        <f>SUMIF(COMPRAS!A3:A183,"N CALCIO CALCINIT YARA 15.5% 18CA 25K",COMPRAS!E3:E183)</f>
        <v>675</v>
      </c>
      <c r="L57" s="31">
        <f>SUMIF(COMPRAS!A3:A183,"N CALCIO CALCINIT YARA 15.5% 18CA 25K",COMPRAS!F3:F183)</f>
        <v>2276</v>
      </c>
      <c r="M57" s="76">
        <f t="shared" si="1"/>
        <v>3.3718518518518517</v>
      </c>
      <c r="N57" s="25"/>
    </row>
    <row r="58" spans="1:14" x14ac:dyDescent="0.3">
      <c r="A58" s="40" t="s">
        <v>101</v>
      </c>
      <c r="B58" s="54">
        <v>45548</v>
      </c>
      <c r="C58" s="55">
        <v>4</v>
      </c>
      <c r="D58" s="55">
        <v>5000</v>
      </c>
      <c r="E58" s="55">
        <f>C58*D58</f>
        <v>20000</v>
      </c>
      <c r="F58" s="56">
        <v>440</v>
      </c>
      <c r="G58" s="61" t="s">
        <v>133</v>
      </c>
      <c r="H58" s="61" t="s">
        <v>171</v>
      </c>
      <c r="J58" s="69" t="s">
        <v>55</v>
      </c>
      <c r="K58" s="69">
        <f>SUMIF(COMPRAS!A3:A183,"NITRATO DE POTASSIO 12% N 45% K2O 2%S 25 K",COMPRAS!E3:E183)</f>
        <v>100</v>
      </c>
      <c r="L58" s="71">
        <f>SUMIF(COMPRAS!A3:A183,"NITRATO DE POTASSIO 12% N 45% K2O 2%S 25 K",COMPRAS!F3:F183)</f>
        <v>800</v>
      </c>
      <c r="M58" s="76">
        <f t="shared" si="1"/>
        <v>8</v>
      </c>
    </row>
    <row r="59" spans="1:14" x14ac:dyDescent="0.3">
      <c r="A59" s="40" t="s">
        <v>42</v>
      </c>
      <c r="B59" s="54">
        <v>45548</v>
      </c>
      <c r="C59" s="55">
        <v>5</v>
      </c>
      <c r="D59" s="55">
        <v>1000</v>
      </c>
      <c r="E59" s="55">
        <f>C59*D59</f>
        <v>5000</v>
      </c>
      <c r="F59" s="56">
        <v>490</v>
      </c>
      <c r="G59" s="61" t="s">
        <v>133</v>
      </c>
      <c r="H59" s="61" t="s">
        <v>171</v>
      </c>
      <c r="J59" s="40" t="s">
        <v>240</v>
      </c>
      <c r="K59" s="29">
        <f>SUMIF(COMPRAS!A3:A183,"NITRATO POTASSIO YARA TERA K 13-00-43",COMPRAS!E3:E183)</f>
        <v>275</v>
      </c>
      <c r="L59" s="31">
        <f>SUMIF(COMPRAS!A3:A183,"NITRATO POTASSIO YARA TERA K 13-00-43",COMPRAS!F3:F183)</f>
        <v>2346</v>
      </c>
      <c r="M59" s="76">
        <f t="shared" si="1"/>
        <v>8.5309090909090912</v>
      </c>
      <c r="N59" s="25"/>
    </row>
    <row r="60" spans="1:14" x14ac:dyDescent="0.3">
      <c r="A60" s="40" t="s">
        <v>26</v>
      </c>
      <c r="B60" s="54">
        <v>45548</v>
      </c>
      <c r="C60" s="55">
        <v>2</v>
      </c>
      <c r="D60" s="55">
        <v>5000</v>
      </c>
      <c r="E60" s="55">
        <f>C60*D60</f>
        <v>10000</v>
      </c>
      <c r="F60" s="56">
        <v>320</v>
      </c>
      <c r="G60" s="61" t="s">
        <v>133</v>
      </c>
      <c r="H60" s="61" t="s">
        <v>171</v>
      </c>
      <c r="J60" s="40" t="s">
        <v>108</v>
      </c>
      <c r="K60" s="29">
        <f>SUMIF(COMPRAS!A3:A183,"NITROCAM 12X1 LT",COMPRAS!E3:E183)</f>
        <v>1000</v>
      </c>
      <c r="L60" s="31">
        <f>SUMIF(COMPRAS!A3:A183,"NITROCAM 12X1 LT",COMPRAS!F3:F183)</f>
        <v>48</v>
      </c>
      <c r="M60" s="76">
        <f t="shared" si="1"/>
        <v>4.8000000000000001E-2</v>
      </c>
      <c r="N60" s="25"/>
    </row>
    <row r="61" spans="1:14" x14ac:dyDescent="0.3">
      <c r="A61" s="61" t="s">
        <v>45</v>
      </c>
      <c r="B61" s="54">
        <v>45551</v>
      </c>
      <c r="C61" s="55">
        <v>5</v>
      </c>
      <c r="D61" s="55">
        <v>1000</v>
      </c>
      <c r="E61" s="55">
        <f>C61*D61</f>
        <v>5000</v>
      </c>
      <c r="F61" s="56">
        <v>325</v>
      </c>
      <c r="G61" s="61" t="s">
        <v>134</v>
      </c>
      <c r="H61" s="61" t="s">
        <v>169</v>
      </c>
      <c r="J61" s="40" t="s">
        <v>233</v>
      </c>
      <c r="K61" s="40">
        <f>SUMIF(COMPRAS!A3:A183,"NKP",COMPRAS!E3:E183)</f>
        <v>104</v>
      </c>
      <c r="L61" s="56">
        <f>SUMIF(COMPRAS!A3:A183,"NKP",COMPRAS!F3:F183)</f>
        <v>436.8</v>
      </c>
      <c r="M61" s="76">
        <f t="shared" si="1"/>
        <v>4.2</v>
      </c>
    </row>
    <row r="62" spans="1:14" x14ac:dyDescent="0.3">
      <c r="A62" s="40" t="s">
        <v>48</v>
      </c>
      <c r="B62" s="54">
        <v>45552</v>
      </c>
      <c r="C62" s="55">
        <v>1</v>
      </c>
      <c r="D62" s="55">
        <v>25</v>
      </c>
      <c r="E62" s="55">
        <f>C62*D62</f>
        <v>25</v>
      </c>
      <c r="F62" s="56">
        <v>250</v>
      </c>
      <c r="G62" s="61" t="s">
        <v>135</v>
      </c>
      <c r="H62" s="61" t="s">
        <v>136</v>
      </c>
      <c r="J62" s="58" t="s">
        <v>30</v>
      </c>
      <c r="K62" s="59"/>
      <c r="L62" s="60"/>
      <c r="M62" s="77"/>
      <c r="N62" s="25"/>
    </row>
    <row r="63" spans="1:14" x14ac:dyDescent="0.3">
      <c r="A63" s="40" t="s">
        <v>109</v>
      </c>
      <c r="B63" s="54">
        <v>45555</v>
      </c>
      <c r="C63" s="55">
        <v>1</v>
      </c>
      <c r="D63" s="55">
        <v>25</v>
      </c>
      <c r="E63" s="55">
        <f>C63*D63</f>
        <v>25</v>
      </c>
      <c r="F63" s="56">
        <v>265</v>
      </c>
      <c r="G63" s="61" t="s">
        <v>137</v>
      </c>
      <c r="H63" s="61" t="s">
        <v>169</v>
      </c>
      <c r="J63" s="40" t="s">
        <v>31</v>
      </c>
      <c r="K63" s="29">
        <f>SUMIF(COMPRAS!A3:A183,"NUTRIGEMMA B ZN 5 LITROS",COMPRAS!E3:E183)</f>
        <v>5000</v>
      </c>
      <c r="L63" s="31">
        <f>SUMIF(COMPRAS!A3:A183,"NUTRIGEMMA B ZN 5 LITROS",COMPRAS!F3:F183)</f>
        <v>340</v>
      </c>
      <c r="M63" s="76">
        <f t="shared" ref="M63:M89" si="2">L63/K63</f>
        <v>6.8000000000000005E-2</v>
      </c>
      <c r="N63" s="25"/>
    </row>
    <row r="64" spans="1:14" x14ac:dyDescent="0.3">
      <c r="A64" s="40" t="s">
        <v>106</v>
      </c>
      <c r="B64" s="54">
        <v>45555</v>
      </c>
      <c r="C64" s="55">
        <v>1</v>
      </c>
      <c r="D64" s="55">
        <v>5000</v>
      </c>
      <c r="E64" s="55">
        <f>C64*D64</f>
        <v>5000</v>
      </c>
      <c r="F64" s="56">
        <v>200</v>
      </c>
      <c r="G64" s="61" t="s">
        <v>137</v>
      </c>
      <c r="H64" s="61" t="s">
        <v>169</v>
      </c>
      <c r="J64" s="40" t="s">
        <v>114</v>
      </c>
      <c r="K64" s="40">
        <f>SUMIF(COMPRAS!A3:A183,"NUTRISYSTEM INICIAL 42 06.30.06 25 K",COMPRAS!E3:E183)</f>
        <v>950</v>
      </c>
      <c r="L64" s="31">
        <f>SUMIF(COMPRAS!A3:A183,"NUTRISYSTEM INICIAL 42 06.30.06 25 K",COMPRAS!F3:F183)</f>
        <v>4370</v>
      </c>
      <c r="M64" s="76">
        <f t="shared" si="2"/>
        <v>4.5999999999999996</v>
      </c>
    </row>
    <row r="65" spans="1:14" x14ac:dyDescent="0.3">
      <c r="A65" s="40" t="s">
        <v>53</v>
      </c>
      <c r="B65" s="54">
        <v>45555</v>
      </c>
      <c r="C65" s="55">
        <v>2</v>
      </c>
      <c r="D65" s="55">
        <v>25</v>
      </c>
      <c r="E65" s="55">
        <f>C65*D65</f>
        <v>50</v>
      </c>
      <c r="F65" s="56">
        <v>180</v>
      </c>
      <c r="G65" s="61" t="s">
        <v>137</v>
      </c>
      <c r="H65" s="61" t="s">
        <v>169</v>
      </c>
      <c r="J65" s="40" t="s">
        <v>225</v>
      </c>
      <c r="K65" s="40">
        <f>SUMIF(COMPRAS!A3:A183,"PADRON - 1 LITRO",COMPRAS!E3:E183)</f>
        <v>2000</v>
      </c>
      <c r="L65" s="56">
        <f>SUMIF(COMPRAS!A3:A183,"PADRON - 1 LITRO",COMPRAS!F3:F183)</f>
        <v>180</v>
      </c>
      <c r="M65" s="76">
        <f t="shared" si="2"/>
        <v>0.09</v>
      </c>
    </row>
    <row r="66" spans="1:14" x14ac:dyDescent="0.3">
      <c r="A66" s="40" t="s">
        <v>108</v>
      </c>
      <c r="B66" s="54">
        <v>45555</v>
      </c>
      <c r="C66" s="55">
        <v>1</v>
      </c>
      <c r="D66" s="55">
        <v>1000</v>
      </c>
      <c r="E66" s="55">
        <f>C66*D66</f>
        <v>1000</v>
      </c>
      <c r="F66" s="56">
        <v>48</v>
      </c>
      <c r="G66" s="61" t="s">
        <v>137</v>
      </c>
      <c r="H66" s="61" t="s">
        <v>169</v>
      </c>
      <c r="J66" s="61" t="s">
        <v>227</v>
      </c>
      <c r="K66" s="29">
        <f>SUMIF(COMPRAS!A3:A183,"PAGAMENTO FEITA DE MUDAS 2º PLANTIO",COMPRAS!E3:E183)</f>
        <v>12000</v>
      </c>
      <c r="L66" s="31">
        <f>SUMIF(COMPRAS!A3:A183,"PAGAMENTO FEITA DE MUDAS 2º PLANTIO",COMPRAS!F3:F183)</f>
        <v>2400</v>
      </c>
      <c r="M66" s="76">
        <f t="shared" si="2"/>
        <v>0.2</v>
      </c>
      <c r="N66" s="68"/>
    </row>
    <row r="67" spans="1:14" x14ac:dyDescent="0.3">
      <c r="A67" s="40" t="s">
        <v>110</v>
      </c>
      <c r="B67" s="54">
        <v>45555</v>
      </c>
      <c r="C67" s="55">
        <v>1</v>
      </c>
      <c r="D67" s="55">
        <v>1000</v>
      </c>
      <c r="E67" s="55">
        <f>C67*D67</f>
        <v>1000</v>
      </c>
      <c r="F67" s="56">
        <v>156</v>
      </c>
      <c r="G67" s="61" t="s">
        <v>137</v>
      </c>
      <c r="H67" s="61" t="s">
        <v>169</v>
      </c>
      <c r="J67" s="40" t="s">
        <v>42</v>
      </c>
      <c r="K67" s="29">
        <f>SUMIF(COMPRAS!A3:A183,"PHOSIFK CU4 1 LITRO",COMPRAS!E3:E183)</f>
        <v>5000</v>
      </c>
      <c r="L67" s="31">
        <f>SUMIF(COMPRAS!A3:A183,"PHOSIFK CU4 1 LITRO",COMPRAS!F3:F183)</f>
        <v>490</v>
      </c>
      <c r="M67" s="76">
        <f t="shared" si="2"/>
        <v>9.8000000000000004E-2</v>
      </c>
      <c r="N67" s="25"/>
    </row>
    <row r="68" spans="1:14" x14ac:dyDescent="0.3">
      <c r="A68" s="40" t="s">
        <v>107</v>
      </c>
      <c r="B68" s="54">
        <v>45555</v>
      </c>
      <c r="C68" s="55">
        <v>1</v>
      </c>
      <c r="D68" s="55">
        <v>1000</v>
      </c>
      <c r="E68" s="55">
        <f>C68*D68</f>
        <v>1000</v>
      </c>
      <c r="F68" s="56">
        <v>80</v>
      </c>
      <c r="G68" s="61" t="s">
        <v>137</v>
      </c>
      <c r="H68" s="61" t="s">
        <v>169</v>
      </c>
      <c r="J68" s="40" t="s">
        <v>38</v>
      </c>
      <c r="K68" s="29">
        <f>SUMIF(COMPRAS!A3:A183,"PIRATE 1 LITRO",COMPRAS!E3:E183)</f>
        <v>3000</v>
      </c>
      <c r="L68" s="31">
        <f>SUMIF(COMPRAS!A3:A183,"PIRATE 1 LITRO",COMPRAS!F3:F183)</f>
        <v>365</v>
      </c>
      <c r="M68" s="76">
        <f t="shared" si="2"/>
        <v>0.12166666666666667</v>
      </c>
      <c r="N68" s="25"/>
    </row>
    <row r="69" spans="1:14" x14ac:dyDescent="0.3">
      <c r="A69" s="40" t="s">
        <v>54</v>
      </c>
      <c r="B69" s="54">
        <v>45555</v>
      </c>
      <c r="C69" s="55"/>
      <c r="D69" s="55">
        <v>25</v>
      </c>
      <c r="E69" s="55">
        <f>C69*D69</f>
        <v>0</v>
      </c>
      <c r="F69" s="56"/>
      <c r="G69" s="61" t="s">
        <v>137</v>
      </c>
      <c r="H69" s="61" t="s">
        <v>169</v>
      </c>
      <c r="J69" s="40" t="s">
        <v>90</v>
      </c>
      <c r="K69" s="29">
        <f>SUMIF(COMPRAS!A3:A183,"PLATINUM NEO - GL 5 LITROS",COMPRAS!E3:E183)</f>
        <v>15000</v>
      </c>
      <c r="L69" s="31">
        <f>SUMIF(COMPRAS!A3:A183,"PLATINUM NEO - GL 5 LITROS",COMPRAS!F3:F183)</f>
        <v>2600</v>
      </c>
      <c r="M69" s="76">
        <f t="shared" si="2"/>
        <v>0.17333333333333334</v>
      </c>
      <c r="N69" s="25"/>
    </row>
    <row r="70" spans="1:14" x14ac:dyDescent="0.3">
      <c r="A70" s="40" t="s">
        <v>53</v>
      </c>
      <c r="B70" s="54">
        <v>45562</v>
      </c>
      <c r="C70" s="55">
        <v>6</v>
      </c>
      <c r="D70" s="55">
        <v>25</v>
      </c>
      <c r="E70" s="55">
        <f>C70*D70</f>
        <v>150</v>
      </c>
      <c r="F70" s="56">
        <v>510</v>
      </c>
      <c r="G70" s="61" t="s">
        <v>138</v>
      </c>
      <c r="H70" s="61" t="s">
        <v>24</v>
      </c>
      <c r="J70" s="40" t="s">
        <v>49</v>
      </c>
      <c r="K70" s="29">
        <f>SUMIF(COMPRAS!A3:A183,"POQUER 4X5 LITROS",COMPRAS!E3:E183)</f>
        <v>5000</v>
      </c>
      <c r="L70" s="31">
        <f>SUMIF(COMPRAS!A3:A183,"POQUER 4X5 LITROS",COMPRAS!F3:F183)</f>
        <v>163</v>
      </c>
      <c r="M70" s="76">
        <f t="shared" si="2"/>
        <v>3.2599999999999997E-2</v>
      </c>
      <c r="N70" s="25"/>
    </row>
    <row r="71" spans="1:14" x14ac:dyDescent="0.3">
      <c r="A71" s="40" t="s">
        <v>55</v>
      </c>
      <c r="B71" s="54">
        <v>45562</v>
      </c>
      <c r="C71" s="55">
        <v>4</v>
      </c>
      <c r="D71" s="55">
        <v>25</v>
      </c>
      <c r="E71" s="55">
        <f>C71*D71</f>
        <v>100</v>
      </c>
      <c r="F71" s="56">
        <v>800</v>
      </c>
      <c r="G71" s="61" t="s">
        <v>138</v>
      </c>
      <c r="H71" s="61" t="s">
        <v>24</v>
      </c>
      <c r="J71" s="40" t="s">
        <v>113</v>
      </c>
      <c r="K71" s="40">
        <f>SUMIF(COMPRAS!A3:A183,"PRIMOLEO 1X20LT",COMPRAS!E3:E183)</f>
        <v>20000</v>
      </c>
      <c r="L71" s="31">
        <f>SUMIF(COMPRAS!A3:A183,"PRIMOLEO 1X20LT",COMPRAS!F3:F183)</f>
        <v>460</v>
      </c>
      <c r="M71" s="76">
        <f t="shared" si="2"/>
        <v>2.3E-2</v>
      </c>
    </row>
    <row r="72" spans="1:14" x14ac:dyDescent="0.3">
      <c r="A72" s="40" t="s">
        <v>48</v>
      </c>
      <c r="B72" s="54">
        <v>45567</v>
      </c>
      <c r="C72" s="55">
        <v>2</v>
      </c>
      <c r="D72" s="55">
        <v>25</v>
      </c>
      <c r="E72" s="55">
        <f>C72*D72</f>
        <v>50</v>
      </c>
      <c r="F72" s="56">
        <v>470</v>
      </c>
      <c r="G72" s="61" t="s">
        <v>139</v>
      </c>
      <c r="H72" s="61" t="s">
        <v>136</v>
      </c>
      <c r="J72" s="40" t="s">
        <v>36</v>
      </c>
      <c r="K72" s="29">
        <f>SUMIF(COMPRAS!A3:A183,"PRIVILEGE 1L",COMPRAS!E3:E183)</f>
        <v>1000</v>
      </c>
      <c r="L72" s="31">
        <f>SUMIF(COMPRAS!A3:A183,"PRIVILEGE 1L",COMPRAS!F3:F183)</f>
        <v>160</v>
      </c>
      <c r="M72" s="76">
        <f t="shared" si="2"/>
        <v>0.16</v>
      </c>
      <c r="N72" s="25"/>
    </row>
    <row r="73" spans="1:14" x14ac:dyDescent="0.3">
      <c r="A73" s="40" t="s">
        <v>56</v>
      </c>
      <c r="B73" s="54">
        <v>45567</v>
      </c>
      <c r="C73" s="55">
        <v>1</v>
      </c>
      <c r="D73" s="55">
        <v>25</v>
      </c>
      <c r="E73" s="55">
        <f>C73*D73</f>
        <v>25</v>
      </c>
      <c r="F73" s="56">
        <v>275</v>
      </c>
      <c r="G73" s="61" t="s">
        <v>139</v>
      </c>
      <c r="H73" s="61" t="s">
        <v>173</v>
      </c>
      <c r="J73" s="40" t="s">
        <v>206</v>
      </c>
      <c r="K73" s="40">
        <f>SUMIF(COMPRAS!A3:A183,"PROGIBB 400 - PCT 2,5 GR",COMPRAS!E3:E183)</f>
        <v>40</v>
      </c>
      <c r="L73" s="56">
        <f>SUMIF(COMPRAS!A3:A183,"PROGIBB 400 - PCT 2,5 GR",COMPRAS!F3:F183)</f>
        <v>240</v>
      </c>
      <c r="M73" s="76">
        <f t="shared" si="2"/>
        <v>6</v>
      </c>
    </row>
    <row r="74" spans="1:14" x14ac:dyDescent="0.3">
      <c r="A74" s="40" t="s">
        <v>54</v>
      </c>
      <c r="B74" s="54">
        <v>45567</v>
      </c>
      <c r="C74" s="55">
        <v>1</v>
      </c>
      <c r="D74" s="55">
        <v>25</v>
      </c>
      <c r="E74" s="55">
        <f>C74*D74</f>
        <v>25</v>
      </c>
      <c r="F74" s="56">
        <v>75</v>
      </c>
      <c r="G74" s="61" t="s">
        <v>139</v>
      </c>
      <c r="H74" s="61" t="s">
        <v>173</v>
      </c>
      <c r="J74" s="40" t="s">
        <v>46</v>
      </c>
      <c r="K74" s="29">
        <f>SUMIF(COMPRAS!A3:A183,"PROTAMIN 25K",COMPRAS!E3:E183)</f>
        <v>100</v>
      </c>
      <c r="L74" s="31">
        <f>SUMIF(COMPRAS!A3:A183,"PROTAMIN 25K",COMPRAS!F3:F183)</f>
        <v>490</v>
      </c>
      <c r="M74" s="76">
        <f t="shared" si="2"/>
        <v>4.9000000000000004</v>
      </c>
      <c r="N74" s="25"/>
    </row>
    <row r="75" spans="1:14" x14ac:dyDescent="0.3">
      <c r="A75" s="40" t="s">
        <v>79</v>
      </c>
      <c r="B75" s="54">
        <v>45572</v>
      </c>
      <c r="C75" s="55">
        <v>1</v>
      </c>
      <c r="D75" s="55">
        <v>5000</v>
      </c>
      <c r="E75" s="55">
        <f>C75*D75</f>
        <v>5000</v>
      </c>
      <c r="F75" s="56">
        <v>140</v>
      </c>
      <c r="G75" s="61" t="s">
        <v>217</v>
      </c>
      <c r="H75" s="61" t="s">
        <v>214</v>
      </c>
      <c r="J75" s="58" t="s">
        <v>198</v>
      </c>
      <c r="K75" s="69">
        <f>SUMIF(COMPRAS!A3:A183,"QUIMIFOL CALCIO E BORO II- BD 20 L",COMPRAS!E3:E183)</f>
        <v>20000</v>
      </c>
      <c r="L75" s="71">
        <f>SUMIF(COMPRAS!A3:A183,"QUIMIFOL CALCIO E BORO II- BD 20 L",COMPRAS!F3:F183)</f>
        <v>470</v>
      </c>
      <c r="M75" s="76">
        <f t="shared" si="2"/>
        <v>2.35E-2</v>
      </c>
    </row>
    <row r="76" spans="1:14" x14ac:dyDescent="0.3">
      <c r="A76" s="40" t="s">
        <v>53</v>
      </c>
      <c r="B76" s="54">
        <v>45572</v>
      </c>
      <c r="C76" s="55">
        <v>4</v>
      </c>
      <c r="D76" s="55">
        <v>25</v>
      </c>
      <c r="E76" s="55">
        <f>C76*D76</f>
        <v>100</v>
      </c>
      <c r="F76" s="56">
        <v>296</v>
      </c>
      <c r="G76" s="61" t="s">
        <v>140</v>
      </c>
      <c r="H76" s="61" t="s">
        <v>171</v>
      </c>
      <c r="J76" s="69" t="s">
        <v>187</v>
      </c>
      <c r="K76" s="69">
        <f>SUMIF(COMPRAS!A3:A183,"QUIMIFOL IMPACTO - 1 LITRO",COMPRAS!E3:E183)</f>
        <v>1000</v>
      </c>
      <c r="L76" s="71">
        <f>SUMIF(COMPRAS!A3:A183,"QUIMIFOL IMPACTO - 1 LITRO",COMPRAS!F3:F183)</f>
        <v>220</v>
      </c>
      <c r="M76" s="76">
        <f t="shared" si="2"/>
        <v>0.22</v>
      </c>
    </row>
    <row r="77" spans="1:14" x14ac:dyDescent="0.3">
      <c r="A77" s="40" t="s">
        <v>102</v>
      </c>
      <c r="B77" s="54">
        <v>45572</v>
      </c>
      <c r="C77" s="55">
        <v>1</v>
      </c>
      <c r="D77" s="55">
        <v>5000</v>
      </c>
      <c r="E77" s="55">
        <f>C77*D77</f>
        <v>5000</v>
      </c>
      <c r="F77" s="56">
        <v>160</v>
      </c>
      <c r="G77" s="61" t="s">
        <v>217</v>
      </c>
      <c r="H77" s="61" t="s">
        <v>214</v>
      </c>
      <c r="J77" s="40" t="s">
        <v>182</v>
      </c>
      <c r="K77" s="40">
        <f>SUMIF(COMPRAS!A3:A183,"QUIMIFOL P30W- GL 5 LITROS",COMPRAS!E3:E183)</f>
        <v>5000</v>
      </c>
      <c r="L77" s="56">
        <f>SUMIF(COMPRAS!A3:A183,"QUIMIFOL P30W- GL 5 LITROS",COMPRAS!F3:F183)</f>
        <v>180</v>
      </c>
      <c r="M77" s="76">
        <f t="shared" si="2"/>
        <v>3.5999999999999997E-2</v>
      </c>
      <c r="N77" s="8"/>
    </row>
    <row r="78" spans="1:14" x14ac:dyDescent="0.3">
      <c r="A78" s="40" t="s">
        <v>62</v>
      </c>
      <c r="B78" s="54">
        <v>45572</v>
      </c>
      <c r="C78" s="29">
        <v>2</v>
      </c>
      <c r="D78" s="55">
        <v>25</v>
      </c>
      <c r="E78" s="55">
        <f>C78*D78</f>
        <v>50</v>
      </c>
      <c r="F78" s="31">
        <v>344</v>
      </c>
      <c r="G78" s="61" t="s">
        <v>140</v>
      </c>
      <c r="H78" s="61" t="s">
        <v>171</v>
      </c>
      <c r="J78" s="40" t="s">
        <v>83</v>
      </c>
      <c r="K78" s="29">
        <f>SUMIF(COMPRAS!A3:A183,"QUIMIFOL PERSIST- 1 LITRO",COMPRAS!E3:E183)</f>
        <v>3000</v>
      </c>
      <c r="L78" s="31">
        <f>SUMIF(COMPRAS!A3:A183,"QUIMIFOL PERSIST- 1 LITRO",COMPRAS!F3:F183)</f>
        <v>110</v>
      </c>
      <c r="M78" s="76">
        <f t="shared" si="2"/>
        <v>3.6666666666666667E-2</v>
      </c>
    </row>
    <row r="79" spans="1:14" x14ac:dyDescent="0.3">
      <c r="A79" s="40" t="s">
        <v>72</v>
      </c>
      <c r="B79" s="54">
        <v>45578</v>
      </c>
      <c r="C79" s="55">
        <v>1</v>
      </c>
      <c r="D79" s="55">
        <v>25</v>
      </c>
      <c r="E79" s="55">
        <f>C79*D79</f>
        <v>25</v>
      </c>
      <c r="F79" s="56">
        <v>255</v>
      </c>
      <c r="G79" s="61" t="s">
        <v>229</v>
      </c>
      <c r="H79" s="61"/>
      <c r="J79" s="40" t="s">
        <v>183</v>
      </c>
      <c r="K79" s="40">
        <f>SUMIF(COMPRAS!A3:A183,"QUIMIFOL PHFOS - 1 LITRO",COMPRAS!E3:E183)</f>
        <v>1000</v>
      </c>
      <c r="L79" s="56">
        <f>SUMIF(COMPRAS!A3:A183,"QUIMIFOL PHFOS - 1 LITRO",COMPRAS!F3:F183)</f>
        <v>60</v>
      </c>
      <c r="M79" s="76">
        <f t="shared" si="2"/>
        <v>0.06</v>
      </c>
      <c r="N79" s="25"/>
    </row>
    <row r="80" spans="1:14" x14ac:dyDescent="0.3">
      <c r="A80" s="40" t="s">
        <v>240</v>
      </c>
      <c r="B80" s="54">
        <v>45580</v>
      </c>
      <c r="C80" s="55">
        <v>2</v>
      </c>
      <c r="D80" s="55">
        <v>25</v>
      </c>
      <c r="E80" s="55">
        <f>C80*D80</f>
        <v>50</v>
      </c>
      <c r="F80" s="56">
        <v>420</v>
      </c>
      <c r="G80" s="61" t="s">
        <v>141</v>
      </c>
      <c r="H80" s="61" t="s">
        <v>171</v>
      </c>
      <c r="J80" s="40" t="s">
        <v>191</v>
      </c>
      <c r="K80" s="40">
        <f>SUMIF(COMPRAS!A3:A183,"QUIMIFOL S450 - GL 5 LITROS",COMPRAS!E3:E183)</f>
        <v>5000</v>
      </c>
      <c r="L80" s="56">
        <f>SUMIF(COMPRAS!A3:A183,"QUIMIFOL S450 - GL 5 LITROS",COMPRAS!F3:F183)</f>
        <v>210</v>
      </c>
      <c r="M80" s="76">
        <f t="shared" si="2"/>
        <v>4.2000000000000003E-2</v>
      </c>
    </row>
    <row r="81" spans="1:14" x14ac:dyDescent="0.3">
      <c r="A81" s="40" t="s">
        <v>62</v>
      </c>
      <c r="B81" s="54">
        <v>45580</v>
      </c>
      <c r="C81" s="55">
        <v>2</v>
      </c>
      <c r="D81" s="55">
        <v>25</v>
      </c>
      <c r="E81" s="55">
        <f>C81*D81</f>
        <v>50</v>
      </c>
      <c r="F81" s="56">
        <v>340</v>
      </c>
      <c r="G81" s="61" t="s">
        <v>141</v>
      </c>
      <c r="H81" s="61" t="s">
        <v>136</v>
      </c>
      <c r="J81" s="40" t="s">
        <v>82</v>
      </c>
      <c r="K81" s="29">
        <f>SUMIF(COMPRAS!A3:A183,"QUIMIORGEN 20 N - GL DE 5 LITROS",COMPRAS!E3:E183)</f>
        <v>10000</v>
      </c>
      <c r="L81" s="31">
        <f>SUMIF(COMPRAS!A3:A183,"QUIMIORGEN 20 N - GL DE 5 LITROS",COMPRAS!F3:F183)</f>
        <v>220</v>
      </c>
      <c r="M81" s="76">
        <f t="shared" si="2"/>
        <v>2.1999999999999999E-2</v>
      </c>
    </row>
    <row r="82" spans="1:14" x14ac:dyDescent="0.3">
      <c r="A82" s="40" t="s">
        <v>80</v>
      </c>
      <c r="B82" s="54">
        <v>45583</v>
      </c>
      <c r="C82" s="55">
        <v>1</v>
      </c>
      <c r="D82" s="55">
        <v>5000</v>
      </c>
      <c r="E82" s="55">
        <f>C82*D82</f>
        <v>5000</v>
      </c>
      <c r="F82" s="56">
        <v>640</v>
      </c>
      <c r="G82" s="61" t="s">
        <v>215</v>
      </c>
      <c r="H82" s="61"/>
      <c r="J82" s="40" t="s">
        <v>190</v>
      </c>
      <c r="K82" s="40">
        <f>SUMIF(COMPRAS!A3:A183,"RAPEL PCT- 3 KG",COMPRAS!E3:E183)</f>
        <v>6000</v>
      </c>
      <c r="L82" s="56">
        <f>SUMIF(COMPRAS!A3:A183,"RAPEL PCT- 3 KG",COMPRAS!F3:F183)</f>
        <v>340</v>
      </c>
      <c r="M82" s="76">
        <f t="shared" si="2"/>
        <v>5.6666666666666664E-2</v>
      </c>
      <c r="N82" s="25"/>
    </row>
    <row r="83" spans="1:14" x14ac:dyDescent="0.3">
      <c r="A83" s="40" t="s">
        <v>84</v>
      </c>
      <c r="B83" s="54">
        <v>45583</v>
      </c>
      <c r="C83" s="55">
        <v>1</v>
      </c>
      <c r="D83" s="55">
        <v>1</v>
      </c>
      <c r="E83" s="55">
        <f>C83*D83</f>
        <v>1</v>
      </c>
      <c r="F83" s="56">
        <v>110</v>
      </c>
      <c r="G83" s="61" t="s">
        <v>218</v>
      </c>
      <c r="H83" s="61"/>
      <c r="J83" s="40" t="s">
        <v>26</v>
      </c>
      <c r="K83" s="29">
        <f>SUMIF(COMPRAS!A3:A183,"RESTORER 5 LITROS",COMPRAS!E3:E183)</f>
        <v>45000</v>
      </c>
      <c r="L83" s="31">
        <f>SUMIF(COMPRAS!A3:A183,"RESTORER 5 LITROS",COMPRAS!F3:F183)</f>
        <v>1490</v>
      </c>
      <c r="M83" s="76">
        <f t="shared" si="2"/>
        <v>3.3111111111111112E-2</v>
      </c>
    </row>
    <row r="84" spans="1:14" x14ac:dyDescent="0.3">
      <c r="A84" s="40" t="s">
        <v>38</v>
      </c>
      <c r="B84" s="54">
        <v>45583</v>
      </c>
      <c r="C84" s="55">
        <v>1</v>
      </c>
      <c r="D84" s="55">
        <v>1000</v>
      </c>
      <c r="E84" s="55">
        <f>C84*D84</f>
        <v>1000</v>
      </c>
      <c r="F84" s="56">
        <v>120</v>
      </c>
      <c r="G84" s="61" t="s">
        <v>216</v>
      </c>
      <c r="H84" s="61"/>
      <c r="J84" s="40" t="s">
        <v>43</v>
      </c>
      <c r="K84" s="29">
        <f>SUMIF(COMPRAS!A3:A183,"RIDOMIL GOLD BRAVO 1 LITRO",COMPRAS!E3:E183)</f>
        <v>1000</v>
      </c>
      <c r="L84" s="31">
        <f>SUMIF(COMPRAS!A3:A183,"RIDOMIL GOLD BRAVO 1 LITRO",COMPRAS!F3:F183)</f>
        <v>120</v>
      </c>
      <c r="M84" s="76">
        <f t="shared" si="2"/>
        <v>0.12</v>
      </c>
      <c r="N84" s="25"/>
    </row>
    <row r="85" spans="1:14" x14ac:dyDescent="0.3">
      <c r="A85" s="40" t="s">
        <v>83</v>
      </c>
      <c r="B85" s="54">
        <v>45583</v>
      </c>
      <c r="C85" s="55">
        <v>2</v>
      </c>
      <c r="D85" s="55">
        <v>1000</v>
      </c>
      <c r="E85" s="55">
        <f>C85*D85</f>
        <v>2000</v>
      </c>
      <c r="F85" s="56">
        <v>70</v>
      </c>
      <c r="G85" s="61" t="s">
        <v>215</v>
      </c>
      <c r="H85" s="61"/>
      <c r="J85" s="40" t="s">
        <v>110</v>
      </c>
      <c r="K85" s="29">
        <f>SUMIF(COMPRAS!A3:A183,"RIDOMIL GOLD MZ 680 WG 12X1 KG",COMPRAS!E3:E183)</f>
        <v>1000</v>
      </c>
      <c r="L85" s="31">
        <f>SUMIF(COMPRAS!A3:A183,"RIDOMIL GOLD MZ 680 WG 12X1 KG",COMPRAS!F3:F183)</f>
        <v>156</v>
      </c>
      <c r="M85" s="76">
        <f t="shared" si="2"/>
        <v>0.156</v>
      </c>
      <c r="N85" s="25"/>
    </row>
    <row r="86" spans="1:14" x14ac:dyDescent="0.3">
      <c r="A86" s="40" t="s">
        <v>82</v>
      </c>
      <c r="B86" s="54">
        <v>45583</v>
      </c>
      <c r="C86" s="55">
        <v>2</v>
      </c>
      <c r="D86" s="55">
        <v>5000</v>
      </c>
      <c r="E86" s="55">
        <f>C86*D86</f>
        <v>10000</v>
      </c>
      <c r="F86" s="56">
        <v>220</v>
      </c>
      <c r="G86" s="61" t="s">
        <v>215</v>
      </c>
      <c r="H86" s="61"/>
      <c r="J86" s="40" t="s">
        <v>65</v>
      </c>
      <c r="K86" s="29">
        <f>SUMIF(COMPRAS!A3:A183,"RIZAMMINA 42 OS 8X2 5 KILOS",COMPRAS!E3:E183)</f>
        <v>5000</v>
      </c>
      <c r="L86" s="31">
        <f>SUMIF(COMPRAS!A3:A183,"RIZAMMINA 42 OS 8X2 5 KILOS",COMPRAS!F3:F183)</f>
        <v>170</v>
      </c>
      <c r="M86" s="76">
        <f t="shared" si="2"/>
        <v>3.4000000000000002E-2</v>
      </c>
      <c r="N86" s="25"/>
    </row>
    <row r="87" spans="1:14" x14ac:dyDescent="0.3">
      <c r="A87" s="40" t="s">
        <v>81</v>
      </c>
      <c r="B87" s="54">
        <v>45583</v>
      </c>
      <c r="C87" s="55">
        <v>1</v>
      </c>
      <c r="D87" s="55">
        <v>20000</v>
      </c>
      <c r="E87" s="55">
        <f>C87*D87</f>
        <v>20000</v>
      </c>
      <c r="F87" s="56">
        <v>1100</v>
      </c>
      <c r="G87" s="61" t="s">
        <v>215</v>
      </c>
      <c r="H87" s="61"/>
      <c r="J87" s="40" t="s">
        <v>102</v>
      </c>
      <c r="K87" s="29">
        <f>SUMIF(COMPRAS!A3:A183,"ROUNDUP ORIGINAL MAIS - GL DE 5 L",COMPRAS!E3:E183)</f>
        <v>20000</v>
      </c>
      <c r="L87" s="31">
        <f>SUMIF(COMPRAS!A3:A183,"ROUNDUP ORIGINAL MAIS - GL DE 5 L",COMPRAS!F3:F183)</f>
        <v>775</v>
      </c>
      <c r="M87" s="76">
        <f t="shared" si="2"/>
        <v>3.875E-2</v>
      </c>
      <c r="N87" s="25"/>
    </row>
    <row r="88" spans="1:14" x14ac:dyDescent="0.3">
      <c r="A88" s="40" t="s">
        <v>48</v>
      </c>
      <c r="B88" s="54">
        <v>45584</v>
      </c>
      <c r="C88" s="55">
        <v>1</v>
      </c>
      <c r="D88" s="55">
        <v>25</v>
      </c>
      <c r="E88" s="55">
        <f>C88*D88</f>
        <v>25</v>
      </c>
      <c r="F88" s="56">
        <v>228</v>
      </c>
      <c r="G88" s="61" t="s">
        <v>142</v>
      </c>
      <c r="H88" s="61" t="s">
        <v>169</v>
      </c>
      <c r="J88" s="40" t="s">
        <v>196</v>
      </c>
      <c r="K88" s="40">
        <f>SUMIF(COMPRAS!A3:A183,"SCORE 250 EC - 1 LITRO",COMPRAS!E3:E183)</f>
        <v>1000</v>
      </c>
      <c r="L88" s="56">
        <f>SUMIF(COMPRAS!A3:A183,"SCORE 250 EC - 1 LITRO",COMPRAS!F3:F183)</f>
        <v>95</v>
      </c>
      <c r="M88" s="76">
        <f t="shared" si="2"/>
        <v>9.5000000000000001E-2</v>
      </c>
    </row>
    <row r="89" spans="1:14" x14ac:dyDescent="0.3">
      <c r="A89" s="40" t="s">
        <v>53</v>
      </c>
      <c r="B89" s="54">
        <v>45584</v>
      </c>
      <c r="C89" s="55">
        <v>3</v>
      </c>
      <c r="D89" s="55">
        <v>25</v>
      </c>
      <c r="E89" s="55">
        <f>C89*D89</f>
        <v>75</v>
      </c>
      <c r="F89" s="56">
        <v>210</v>
      </c>
      <c r="G89" s="61" t="s">
        <v>142</v>
      </c>
      <c r="H89" s="61" t="s">
        <v>169</v>
      </c>
      <c r="J89" s="40" t="s">
        <v>234</v>
      </c>
      <c r="K89" s="40">
        <f>SUMIF(COMPRAS!A3:A183,"SEMENTE DE MILHO BIOMATRIX 3066",COMPRAS!E3:E183)</f>
        <v>8</v>
      </c>
      <c r="L89" s="56">
        <f>SUMIF(COMPRAS!A3:A183,"SEMENTE DE MILHO BIOMATRIX 3066",COMPRAS!F3:F183)</f>
        <v>540</v>
      </c>
      <c r="M89" s="76">
        <f t="shared" si="2"/>
        <v>67.5</v>
      </c>
    </row>
    <row r="90" spans="1:14" x14ac:dyDescent="0.3">
      <c r="A90" s="40" t="s">
        <v>240</v>
      </c>
      <c r="B90" s="54">
        <v>45584</v>
      </c>
      <c r="C90" s="55">
        <v>3</v>
      </c>
      <c r="D90" s="55">
        <v>25</v>
      </c>
      <c r="E90" s="55">
        <f>C90*D90</f>
        <v>75</v>
      </c>
      <c r="F90" s="56">
        <v>642</v>
      </c>
      <c r="G90" s="61" t="s">
        <v>142</v>
      </c>
      <c r="H90" s="61" t="s">
        <v>169</v>
      </c>
      <c r="J90" s="58" t="s">
        <v>97</v>
      </c>
      <c r="K90" s="59"/>
      <c r="L90" s="60"/>
      <c r="M90" s="77"/>
      <c r="N90" s="25"/>
    </row>
    <row r="91" spans="1:14" x14ac:dyDescent="0.3">
      <c r="A91" s="40" t="s">
        <v>62</v>
      </c>
      <c r="B91" s="54">
        <v>45584</v>
      </c>
      <c r="C91" s="55">
        <v>8</v>
      </c>
      <c r="D91" s="55">
        <v>25</v>
      </c>
      <c r="E91" s="55">
        <f>C91*D91</f>
        <v>200</v>
      </c>
      <c r="F91" s="56">
        <v>1360</v>
      </c>
      <c r="G91" s="61" t="s">
        <v>142</v>
      </c>
      <c r="H91" s="61" t="s">
        <v>169</v>
      </c>
      <c r="J91" s="40" t="s">
        <v>186</v>
      </c>
      <c r="K91" s="40">
        <f>SUMIF(COMPRAS!A3:A183,"SEMENTE MELANCIA CRIMSON SELE",COMPRAS!E3:E183)</f>
        <v>1000</v>
      </c>
      <c r="L91" s="56">
        <f>SUMIF(COMPRAS!A3:A183,"SEMENTE MELANCIA CRIMSON SELE",COMPRAS!F3:F183)</f>
        <v>290</v>
      </c>
      <c r="M91" s="76">
        <f t="shared" ref="M91:M107" si="3">L91/K91</f>
        <v>0.28999999999999998</v>
      </c>
      <c r="N91" s="25"/>
    </row>
    <row r="92" spans="1:14" x14ac:dyDescent="0.3">
      <c r="A92" s="40" t="s">
        <v>85</v>
      </c>
      <c r="B92" s="75">
        <v>45587</v>
      </c>
      <c r="C92" s="55">
        <v>1</v>
      </c>
      <c r="D92" s="55">
        <v>120</v>
      </c>
      <c r="E92" s="55">
        <f>C92*D92</f>
        <v>120</v>
      </c>
      <c r="F92" s="31">
        <v>330</v>
      </c>
      <c r="G92" s="61" t="s">
        <v>174</v>
      </c>
      <c r="H92" s="61" t="s">
        <v>175</v>
      </c>
      <c r="J92" s="40" t="s">
        <v>119</v>
      </c>
      <c r="K92" s="40">
        <f>SUMIF(COMPRAS!A3:A183,"SEMENTE MELANCIA H MANCHESTER",COMPRAS!E3:E183)</f>
        <v>2000</v>
      </c>
      <c r="L92" s="56">
        <f>SUMIF(COMPRAS!A3:A183,"SEMENTE MELANCIA H MANCHESTER",COMPRAS!F3:F183)</f>
        <v>860</v>
      </c>
      <c r="M92" s="76">
        <f t="shared" si="3"/>
        <v>0.43</v>
      </c>
    </row>
    <row r="93" spans="1:14" x14ac:dyDescent="0.3">
      <c r="A93" s="40" t="s">
        <v>85</v>
      </c>
      <c r="B93" s="54">
        <v>45587</v>
      </c>
      <c r="C93" s="55">
        <v>1</v>
      </c>
      <c r="D93" s="55">
        <v>120</v>
      </c>
      <c r="E93" s="55">
        <f>C93*D93</f>
        <v>120</v>
      </c>
      <c r="F93" s="56">
        <v>330</v>
      </c>
      <c r="G93" s="61" t="s">
        <v>219</v>
      </c>
      <c r="H93" s="61"/>
      <c r="J93" s="40" t="s">
        <v>105</v>
      </c>
      <c r="K93" s="40">
        <f>SUMIF(COMPRAS!A3:A183,"SEMENTE MILHO HIB FEROZ SYN8A98 TL TG FORT VIP TURBO",COMPRAS!E3:E183)</f>
        <v>3000</v>
      </c>
      <c r="L93" s="31">
        <f>SUMIF(COMPRAS!A3:A183,"SEMENTE MILHO HIB FEROZ SYN8A98 TL TG FORT VIP TURBO",COMPRAS!F3:F183)</f>
        <v>1650</v>
      </c>
      <c r="M93" s="76">
        <f t="shared" si="3"/>
        <v>0.55000000000000004</v>
      </c>
    </row>
    <row r="94" spans="1:14" x14ac:dyDescent="0.3">
      <c r="A94" s="40" t="s">
        <v>101</v>
      </c>
      <c r="B94" s="75">
        <v>45588</v>
      </c>
      <c r="C94" s="55">
        <v>2</v>
      </c>
      <c r="D94" s="55">
        <v>5000</v>
      </c>
      <c r="E94" s="55">
        <f>C94*D94</f>
        <v>10000</v>
      </c>
      <c r="F94" s="56">
        <v>220</v>
      </c>
      <c r="G94" s="61" t="s">
        <v>143</v>
      </c>
      <c r="H94" s="61" t="s">
        <v>171</v>
      </c>
      <c r="J94" s="40" t="s">
        <v>104</v>
      </c>
      <c r="K94" s="40">
        <f>SUMIF(COMPRAS!A3:A183,"SEMENTE MILHO HIB FEROZ SYN8A98 TL TG VIP FORTENZA",COMPRAS!E3:E183)</f>
        <v>2000</v>
      </c>
      <c r="L94" s="56">
        <f>SUMIF(COMPRAS!A3:A183,"SEMENTE MILHO HIB FEROZ SYN8A98 TL TG VIP FORTENZA",COMPRAS!F3:F183)</f>
        <v>1000</v>
      </c>
      <c r="M94" s="76">
        <f t="shared" si="3"/>
        <v>0.5</v>
      </c>
    </row>
    <row r="95" spans="1:14" x14ac:dyDescent="0.3">
      <c r="A95" s="40" t="s">
        <v>64</v>
      </c>
      <c r="B95" s="75">
        <v>45588</v>
      </c>
      <c r="C95" s="61">
        <v>1</v>
      </c>
      <c r="D95" s="55">
        <v>5000</v>
      </c>
      <c r="E95" s="55">
        <f>C95*D95</f>
        <v>5000</v>
      </c>
      <c r="F95" s="31">
        <v>120</v>
      </c>
      <c r="G95" s="61" t="s">
        <v>143</v>
      </c>
      <c r="H95" s="61" t="s">
        <v>171</v>
      </c>
      <c r="I95" s="42"/>
      <c r="J95" s="40" t="s">
        <v>96</v>
      </c>
      <c r="K95" s="29">
        <f>SUMIF(COMPRAS!A3:A183,"SEMENTE TOMATE ",COMPRAS!E3:E183)</f>
        <v>5000</v>
      </c>
      <c r="L95" s="31">
        <f>SUMIF(COMPRAS!A3:A183,"SEMENTE TOMATE ",COMPRAS!F3:F183)</f>
        <v>2700</v>
      </c>
      <c r="M95" s="76">
        <f t="shared" si="3"/>
        <v>0.54</v>
      </c>
    </row>
    <row r="96" spans="1:14" x14ac:dyDescent="0.3">
      <c r="A96" s="40" t="s">
        <v>65</v>
      </c>
      <c r="B96" s="75">
        <v>45588</v>
      </c>
      <c r="C96" s="55">
        <v>1</v>
      </c>
      <c r="D96" s="55">
        <v>5000</v>
      </c>
      <c r="E96" s="55">
        <f>C96*D96</f>
        <v>5000</v>
      </c>
      <c r="F96" s="56">
        <v>170</v>
      </c>
      <c r="G96" s="61" t="s">
        <v>143</v>
      </c>
      <c r="H96" s="61" t="s">
        <v>171</v>
      </c>
      <c r="J96" s="40" t="s">
        <v>146</v>
      </c>
      <c r="K96" s="40">
        <f>SUMIF(COMPRAS!A3:A183,"SEMENTE TOMATE COLT 1000 SEMENTES",COMPRAS!E3:E183)</f>
        <v>12000</v>
      </c>
      <c r="L96" s="56">
        <f>SUMIF(COMPRAS!A3:A183,"SEMENTE TOMATE COLT 1000 SEMENTES",COMPRAS!F3:F183)</f>
        <v>6840</v>
      </c>
      <c r="M96" s="76">
        <f t="shared" si="3"/>
        <v>0.56999999999999995</v>
      </c>
      <c r="N96" s="25"/>
    </row>
    <row r="97" spans="1:14" x14ac:dyDescent="0.3">
      <c r="A97" s="40" t="s">
        <v>107</v>
      </c>
      <c r="B97" s="75">
        <v>45588</v>
      </c>
      <c r="C97" s="55">
        <v>1</v>
      </c>
      <c r="D97" s="55">
        <v>1000</v>
      </c>
      <c r="E97" s="55">
        <f>C97*D97</f>
        <v>1000</v>
      </c>
      <c r="F97" s="56">
        <v>80</v>
      </c>
      <c r="G97" s="61" t="s">
        <v>143</v>
      </c>
      <c r="H97" s="61" t="s">
        <v>171</v>
      </c>
      <c r="J97" s="40" t="s">
        <v>223</v>
      </c>
      <c r="K97" s="40">
        <f>SUMIF(COMPRAS!A3:A183,"SENCOR 480 SC- 1 LITRO",COMPRAS!E3:E183)</f>
        <v>1000</v>
      </c>
      <c r="L97" s="56">
        <f>SUMIF(COMPRAS!A3:A183,"SENCOR 480 SC- 1 LITRO",COMPRAS!F3:F183)</f>
        <v>140</v>
      </c>
      <c r="M97" s="76">
        <f t="shared" si="3"/>
        <v>0.14000000000000001</v>
      </c>
    </row>
    <row r="98" spans="1:14" x14ac:dyDescent="0.3">
      <c r="A98" s="40" t="s">
        <v>62</v>
      </c>
      <c r="B98" s="75">
        <v>45588</v>
      </c>
      <c r="C98" s="55">
        <v>7</v>
      </c>
      <c r="D98" s="55">
        <v>25</v>
      </c>
      <c r="E98" s="55">
        <f>C98*D98</f>
        <v>175</v>
      </c>
      <c r="F98" s="56">
        <v>1190</v>
      </c>
      <c r="G98" s="61" t="s">
        <v>143</v>
      </c>
      <c r="H98" s="61" t="s">
        <v>171</v>
      </c>
      <c r="J98" s="40" t="s">
        <v>107</v>
      </c>
      <c r="K98" s="29">
        <f>SUMIF(COMPRAS!A3:A183,"SPRAY DUNGER 20X1KG",COMPRAS!E3:E183)</f>
        <v>2000</v>
      </c>
      <c r="L98" s="31">
        <f>SUMIF(COMPRAS!A3:A183,"SPRAY DUNGER 20X1KG",COMPRAS!F3:F183)</f>
        <v>160</v>
      </c>
      <c r="M98" s="76">
        <f t="shared" si="3"/>
        <v>0.08</v>
      </c>
    </row>
    <row r="99" spans="1:14" x14ac:dyDescent="0.3">
      <c r="A99" s="40" t="s">
        <v>146</v>
      </c>
      <c r="B99" s="54">
        <v>45589</v>
      </c>
      <c r="C99" s="55">
        <v>12</v>
      </c>
      <c r="D99" s="55">
        <v>1000</v>
      </c>
      <c r="E99" s="55">
        <f>C99*D99</f>
        <v>12000</v>
      </c>
      <c r="F99" s="56">
        <v>6840</v>
      </c>
      <c r="G99" s="61" t="s">
        <v>144</v>
      </c>
      <c r="H99" s="61" t="s">
        <v>145</v>
      </c>
      <c r="J99" s="40" t="s">
        <v>111</v>
      </c>
      <c r="K99" s="40">
        <f>SUMIF(COMPRAS!A3:A183,"SPRINT ALGA TS 12X1LT",COMPRAS!E3:E183)</f>
        <v>1000</v>
      </c>
      <c r="L99" s="31">
        <f>SUMIF(COMPRAS!A3:A183,"SPRINT ALGA TS 12X1LT",COMPRAS!F3:F183)</f>
        <v>200</v>
      </c>
      <c r="M99" s="76">
        <f t="shared" si="3"/>
        <v>0.2</v>
      </c>
      <c r="N99" s="25"/>
    </row>
    <row r="100" spans="1:14" x14ac:dyDescent="0.3">
      <c r="A100" s="40" t="s">
        <v>66</v>
      </c>
      <c r="B100" s="54">
        <v>45595</v>
      </c>
      <c r="C100" s="55">
        <v>1</v>
      </c>
      <c r="D100" s="55">
        <v>1000</v>
      </c>
      <c r="E100" s="55">
        <f>C100*D100</f>
        <v>1000</v>
      </c>
      <c r="F100" s="56">
        <v>230</v>
      </c>
      <c r="G100" s="61" t="s">
        <v>147</v>
      </c>
      <c r="H100" s="61" t="s">
        <v>171</v>
      </c>
      <c r="J100" s="40" t="s">
        <v>236</v>
      </c>
      <c r="K100" s="40">
        <f>SUMIF(COMPRAS!A3:A183,"SUFATO DE AMONIO",COMPRAS!E3:E183)</f>
        <v>750</v>
      </c>
      <c r="L100" s="56">
        <f>SUMIF(COMPRAS!A3:A183,"SUFATO DE AMONIO",COMPRAS!F3:F183)</f>
        <v>1800</v>
      </c>
      <c r="M100" s="76">
        <f t="shared" si="3"/>
        <v>2.4</v>
      </c>
    </row>
    <row r="101" spans="1:14" x14ac:dyDescent="0.3">
      <c r="A101" s="40" t="s">
        <v>86</v>
      </c>
      <c r="B101" s="54">
        <v>45595</v>
      </c>
      <c r="C101" s="55">
        <v>2</v>
      </c>
      <c r="D101" s="55">
        <v>15</v>
      </c>
      <c r="E101" s="55">
        <f>C101*D101</f>
        <v>30</v>
      </c>
      <c r="F101" s="56">
        <v>80</v>
      </c>
      <c r="G101" s="61" t="s">
        <v>220</v>
      </c>
      <c r="H101" s="61"/>
      <c r="J101" s="40" t="s">
        <v>54</v>
      </c>
      <c r="K101" s="29">
        <f>SUMIF(COMPRAS!A3:A183,"SULFATO DE MAGNESIO-KRISTA MGS 25K",COMPRAS!E3:E183)</f>
        <v>150</v>
      </c>
      <c r="L101" s="31">
        <f>SUMIF(COMPRAS!A3:A183,"SULFATO DE MAGNESIO-KRISTA MGS 25K",COMPRAS!F3:F183)</f>
        <v>479</v>
      </c>
      <c r="M101" s="76">
        <f t="shared" si="3"/>
        <v>3.1933333333333334</v>
      </c>
    </row>
    <row r="102" spans="1:14" x14ac:dyDescent="0.3">
      <c r="A102" s="40" t="s">
        <v>87</v>
      </c>
      <c r="B102" s="54">
        <v>45597</v>
      </c>
      <c r="C102" s="55">
        <v>1</v>
      </c>
      <c r="D102" s="55">
        <v>1000</v>
      </c>
      <c r="E102" s="55">
        <f>C102*D102</f>
        <v>1000</v>
      </c>
      <c r="F102" s="56">
        <v>110</v>
      </c>
      <c r="G102" s="61" t="s">
        <v>179</v>
      </c>
      <c r="H102" s="61"/>
      <c r="J102" s="40" t="s">
        <v>112</v>
      </c>
      <c r="K102" s="40">
        <f>SUMIF(COMPRAS!A3:A183,"TIMOREX GOLD 12X1 LT",COMPRAS!E3:E183)</f>
        <v>1000</v>
      </c>
      <c r="L102" s="31">
        <f>SUMIF(COMPRAS!A3:A183,"TIMOREX GOLD 12X1 LT",COMPRAS!F3:F183)</f>
        <v>145</v>
      </c>
      <c r="M102" s="76">
        <f t="shared" si="3"/>
        <v>0.14499999999999999</v>
      </c>
      <c r="N102" s="25"/>
    </row>
    <row r="103" spans="1:14" x14ac:dyDescent="0.3">
      <c r="A103" s="40" t="s">
        <v>88</v>
      </c>
      <c r="B103" s="54">
        <v>45597</v>
      </c>
      <c r="C103" s="55">
        <v>1</v>
      </c>
      <c r="D103" s="55">
        <v>1000</v>
      </c>
      <c r="E103" s="55">
        <f>C103*D103</f>
        <v>1000</v>
      </c>
      <c r="F103" s="56">
        <v>65</v>
      </c>
      <c r="G103" s="61" t="s">
        <v>179</v>
      </c>
      <c r="H103" s="61"/>
      <c r="J103" s="40" t="s">
        <v>25</v>
      </c>
      <c r="K103" s="29">
        <f>SUMIF(COMPRAS!A3:A183,"TOPMIX 03-28-00 YARA 50K",COMPRAS!E3:E183)</f>
        <v>475</v>
      </c>
      <c r="L103" s="31">
        <f>SUMIF(COMPRAS!A3:A183,"TOPMIX 03-28-00 YARA 50K",COMPRAS!F3:F183)</f>
        <v>3230</v>
      </c>
      <c r="M103" s="76">
        <f t="shared" si="3"/>
        <v>6.8</v>
      </c>
    </row>
    <row r="104" spans="1:14" x14ac:dyDescent="0.3">
      <c r="A104" s="40" t="s">
        <v>70</v>
      </c>
      <c r="B104" s="54">
        <v>45597</v>
      </c>
      <c r="C104" s="55">
        <v>1</v>
      </c>
      <c r="D104" s="55">
        <v>1000</v>
      </c>
      <c r="E104" s="55">
        <f>C104*D104</f>
        <v>1000</v>
      </c>
      <c r="F104" s="56">
        <v>155</v>
      </c>
      <c r="G104" s="61" t="s">
        <v>179</v>
      </c>
      <c r="H104" s="61"/>
      <c r="J104" s="40" t="s">
        <v>81</v>
      </c>
      <c r="K104" s="29">
        <f>SUMIF(COMPRAS!A3:A183,"TORDONULTRA-S - BD 20 LITROS",COMPRAS!E3:E183)</f>
        <v>20000</v>
      </c>
      <c r="L104" s="31">
        <f>SUMIF(COMPRAS!A3:A183,"TORDONULTRA-S - BD 20 LITROS",COMPRAS!F3:F183)</f>
        <v>1100</v>
      </c>
      <c r="M104" s="76">
        <f t="shared" si="3"/>
        <v>5.5E-2</v>
      </c>
      <c r="N104" s="25"/>
    </row>
    <row r="105" spans="1:14" x14ac:dyDescent="0.3">
      <c r="A105" s="40" t="s">
        <v>69</v>
      </c>
      <c r="B105" s="54">
        <v>45597</v>
      </c>
      <c r="C105" s="55">
        <v>1</v>
      </c>
      <c r="D105" s="55">
        <v>1000</v>
      </c>
      <c r="E105" s="55">
        <f>C105*D105</f>
        <v>1000</v>
      </c>
      <c r="F105" s="56">
        <v>52</v>
      </c>
      <c r="G105" s="61" t="s">
        <v>149</v>
      </c>
      <c r="H105" s="61" t="s">
        <v>169</v>
      </c>
      <c r="J105" s="40" t="s">
        <v>86</v>
      </c>
      <c r="K105" s="29">
        <f>SUMIF(COMPRAS!A3:A183,"TRIGARD 750 PM - PCT 15 GR",COMPRAS!E3:E183)</f>
        <v>90</v>
      </c>
      <c r="L105" s="31">
        <f>SUMIF(COMPRAS!A3:A183,"TRIGARD 750 PM - PCT 15 GR",COMPRAS!F3:F183)</f>
        <v>240</v>
      </c>
      <c r="M105" s="76">
        <f t="shared" si="3"/>
        <v>2.6666666666666665</v>
      </c>
      <c r="N105" s="25"/>
    </row>
    <row r="106" spans="1:14" x14ac:dyDescent="0.3">
      <c r="A106" s="40" t="s">
        <v>240</v>
      </c>
      <c r="B106" s="54">
        <v>45597</v>
      </c>
      <c r="C106" s="55">
        <v>6</v>
      </c>
      <c r="D106" s="55">
        <v>25</v>
      </c>
      <c r="E106" s="55">
        <f>C106*D106</f>
        <v>150</v>
      </c>
      <c r="F106" s="56">
        <v>1284</v>
      </c>
      <c r="G106" s="61" t="s">
        <v>149</v>
      </c>
      <c r="H106" s="61" t="s">
        <v>169</v>
      </c>
      <c r="J106" s="40" t="s">
        <v>238</v>
      </c>
      <c r="K106" s="40">
        <f>SUMIF(COMPRAS!A3:A183,"UREIA ",COMPRAS!E3:E183)</f>
        <v>50</v>
      </c>
      <c r="L106" s="56">
        <f>SUMIF(COMPRAS!A3:A183,"UREIA ",COMPRAS!F3:F183)</f>
        <v>190</v>
      </c>
      <c r="M106" s="76">
        <f t="shared" si="3"/>
        <v>3.8</v>
      </c>
      <c r="N106" s="25"/>
    </row>
    <row r="107" spans="1:14" x14ac:dyDescent="0.3">
      <c r="A107" s="40" t="s">
        <v>62</v>
      </c>
      <c r="B107" s="54">
        <v>45597</v>
      </c>
      <c r="C107" s="55">
        <v>7</v>
      </c>
      <c r="D107" s="55">
        <v>25</v>
      </c>
      <c r="E107" s="55">
        <f>C107*D107</f>
        <v>175</v>
      </c>
      <c r="F107" s="56">
        <v>1190</v>
      </c>
      <c r="G107" s="61" t="s">
        <v>148</v>
      </c>
      <c r="H107" s="61" t="s">
        <v>171</v>
      </c>
      <c r="J107" s="40" t="s">
        <v>62</v>
      </c>
      <c r="K107" s="29">
        <f>SUMIF(COMPRAS!A3:A183,"YARAREGA 18-05-18 25 K",COMPRAS!E3:E183)</f>
        <v>1250</v>
      </c>
      <c r="L107" s="31">
        <f>SUMIF(COMPRAS!A3:A183,"YARAREGA 18-05-18 25 K",COMPRAS!F3:F183)</f>
        <v>8504</v>
      </c>
      <c r="M107" s="76">
        <f t="shared" si="3"/>
        <v>6.8032000000000004</v>
      </c>
      <c r="N107" s="8"/>
    </row>
    <row r="108" spans="1:14" x14ac:dyDescent="0.3">
      <c r="A108" s="40" t="s">
        <v>67</v>
      </c>
      <c r="B108" s="54">
        <v>45598</v>
      </c>
      <c r="C108" s="55">
        <v>1</v>
      </c>
      <c r="D108" s="55">
        <v>25</v>
      </c>
      <c r="E108" s="55">
        <f>C108*D108</f>
        <v>25</v>
      </c>
      <c r="F108" s="56">
        <v>110</v>
      </c>
      <c r="G108" s="61" t="s">
        <v>176</v>
      </c>
      <c r="H108" s="61" t="s">
        <v>171</v>
      </c>
      <c r="L108" s="31"/>
      <c r="M108" s="76"/>
      <c r="N108" s="25"/>
    </row>
    <row r="109" spans="1:14" x14ac:dyDescent="0.3">
      <c r="A109" s="40" t="s">
        <v>62</v>
      </c>
      <c r="B109" s="75">
        <v>45599</v>
      </c>
      <c r="C109" s="29">
        <v>16</v>
      </c>
      <c r="D109" s="55">
        <v>25</v>
      </c>
      <c r="E109" s="55">
        <f>C109*D109</f>
        <v>400</v>
      </c>
      <c r="F109" s="56">
        <v>2720</v>
      </c>
      <c r="G109" s="61" t="s">
        <v>149</v>
      </c>
      <c r="H109" s="61" t="s">
        <v>169</v>
      </c>
    </row>
    <row r="110" spans="1:14" x14ac:dyDescent="0.3">
      <c r="A110" s="40" t="s">
        <v>111</v>
      </c>
      <c r="B110" s="54">
        <v>45600</v>
      </c>
      <c r="C110" s="55">
        <v>1</v>
      </c>
      <c r="D110" s="55">
        <v>1000</v>
      </c>
      <c r="E110" s="55">
        <f>C110*D110</f>
        <v>1000</v>
      </c>
      <c r="F110" s="56">
        <v>200</v>
      </c>
      <c r="G110" s="61" t="s">
        <v>150</v>
      </c>
      <c r="H110" s="61" t="s">
        <v>169</v>
      </c>
    </row>
    <row r="111" spans="1:14" x14ac:dyDescent="0.3">
      <c r="A111" s="40" t="s">
        <v>68</v>
      </c>
      <c r="B111" s="54">
        <v>45603</v>
      </c>
      <c r="C111" s="55">
        <v>1</v>
      </c>
      <c r="D111" s="55">
        <v>1000</v>
      </c>
      <c r="E111" s="55">
        <f>C111*D111</f>
        <v>1000</v>
      </c>
      <c r="F111" s="56">
        <v>375</v>
      </c>
      <c r="G111" s="61" t="s">
        <v>211</v>
      </c>
      <c r="H111" s="61"/>
    </row>
    <row r="112" spans="1:14" x14ac:dyDescent="0.3">
      <c r="A112" s="40" t="s">
        <v>85</v>
      </c>
      <c r="B112" s="54">
        <v>45603</v>
      </c>
      <c r="C112" s="55">
        <v>2</v>
      </c>
      <c r="D112" s="55">
        <v>120</v>
      </c>
      <c r="E112" s="55">
        <f>C112*D112</f>
        <v>240</v>
      </c>
      <c r="F112" s="56">
        <v>660</v>
      </c>
      <c r="G112" s="61" t="s">
        <v>211</v>
      </c>
      <c r="H112" s="61"/>
    </row>
    <row r="113" spans="1:8" x14ac:dyDescent="0.3">
      <c r="A113" s="40" t="s">
        <v>70</v>
      </c>
      <c r="B113" s="54">
        <v>45603</v>
      </c>
      <c r="C113" s="55">
        <v>1</v>
      </c>
      <c r="D113" s="55">
        <v>1000</v>
      </c>
      <c r="E113" s="55">
        <f>C113*D113</f>
        <v>1000</v>
      </c>
      <c r="F113" s="56">
        <v>155</v>
      </c>
      <c r="G113" s="61" t="s">
        <v>211</v>
      </c>
      <c r="H113" s="61"/>
    </row>
    <row r="114" spans="1:8" x14ac:dyDescent="0.3">
      <c r="A114" s="40" t="s">
        <v>89</v>
      </c>
      <c r="B114" s="54">
        <v>45603</v>
      </c>
      <c r="C114" s="55">
        <v>2</v>
      </c>
      <c r="D114" s="55">
        <v>1</v>
      </c>
      <c r="E114" s="55">
        <f>C114*D114</f>
        <v>2</v>
      </c>
      <c r="F114" s="56">
        <v>80</v>
      </c>
      <c r="G114" s="61" t="s">
        <v>211</v>
      </c>
      <c r="H114" s="61"/>
    </row>
    <row r="115" spans="1:8" x14ac:dyDescent="0.3">
      <c r="A115" s="40" t="s">
        <v>112</v>
      </c>
      <c r="B115" s="54">
        <v>45612</v>
      </c>
      <c r="C115" s="55">
        <v>1</v>
      </c>
      <c r="D115" s="55">
        <v>1000</v>
      </c>
      <c r="E115" s="55">
        <f>C115*D115</f>
        <v>1000</v>
      </c>
      <c r="F115" s="56">
        <v>145</v>
      </c>
      <c r="G115" s="61" t="s">
        <v>151</v>
      </c>
      <c r="H115" s="61" t="s">
        <v>171</v>
      </c>
    </row>
    <row r="116" spans="1:8" x14ac:dyDescent="0.3">
      <c r="A116" s="40" t="s">
        <v>86</v>
      </c>
      <c r="B116" s="54">
        <v>45612</v>
      </c>
      <c r="C116" s="55">
        <v>2</v>
      </c>
      <c r="D116" s="55">
        <v>15</v>
      </c>
      <c r="E116" s="55">
        <f>C116*D116</f>
        <v>30</v>
      </c>
      <c r="F116" s="56">
        <v>80</v>
      </c>
      <c r="G116" s="61" t="s">
        <v>212</v>
      </c>
      <c r="H116" s="61"/>
    </row>
    <row r="117" spans="1:8" x14ac:dyDescent="0.3">
      <c r="A117" s="40" t="s">
        <v>113</v>
      </c>
      <c r="B117" s="54">
        <v>45618</v>
      </c>
      <c r="C117" s="55">
        <v>1</v>
      </c>
      <c r="D117" s="55">
        <v>20000</v>
      </c>
      <c r="E117" s="55">
        <f>C117*D117</f>
        <v>20000</v>
      </c>
      <c r="F117" s="56">
        <v>460</v>
      </c>
      <c r="G117" s="61" t="s">
        <v>152</v>
      </c>
      <c r="H117" s="61"/>
    </row>
    <row r="118" spans="1:8" x14ac:dyDescent="0.3">
      <c r="A118" s="40" t="s">
        <v>62</v>
      </c>
      <c r="B118" s="54">
        <v>45619</v>
      </c>
      <c r="C118" s="55">
        <v>3</v>
      </c>
      <c r="D118" s="55">
        <v>25</v>
      </c>
      <c r="E118" s="55">
        <f>C118*D118</f>
        <v>75</v>
      </c>
      <c r="F118" s="56">
        <v>510</v>
      </c>
      <c r="G118" s="61" t="s">
        <v>153</v>
      </c>
      <c r="H118" s="61" t="s">
        <v>171</v>
      </c>
    </row>
    <row r="119" spans="1:8" x14ac:dyDescent="0.3">
      <c r="A119" s="40" t="s">
        <v>62</v>
      </c>
      <c r="B119" s="54">
        <v>45621</v>
      </c>
      <c r="C119" s="55">
        <v>2</v>
      </c>
      <c r="D119" s="55">
        <v>25</v>
      </c>
      <c r="E119" s="55">
        <f>C119*D119</f>
        <v>50</v>
      </c>
      <c r="F119" s="56">
        <v>340</v>
      </c>
      <c r="G119" s="61" t="s">
        <v>154</v>
      </c>
      <c r="H119" s="61" t="s">
        <v>171</v>
      </c>
    </row>
    <row r="120" spans="1:8" x14ac:dyDescent="0.3">
      <c r="A120" s="40" t="s">
        <v>102</v>
      </c>
      <c r="B120" s="54">
        <v>45624</v>
      </c>
      <c r="C120" s="55">
        <v>1</v>
      </c>
      <c r="D120" s="55">
        <v>5000</v>
      </c>
      <c r="E120" s="55">
        <f>C120*D120</f>
        <v>5000</v>
      </c>
      <c r="F120" s="56">
        <v>200</v>
      </c>
      <c r="G120" s="61" t="s">
        <v>213</v>
      </c>
      <c r="H120" s="61"/>
    </row>
    <row r="121" spans="1:8" x14ac:dyDescent="0.3">
      <c r="A121" s="40" t="s">
        <v>177</v>
      </c>
      <c r="B121" s="54">
        <v>45625</v>
      </c>
      <c r="C121" s="55"/>
      <c r="D121" s="55"/>
      <c r="E121" s="55"/>
      <c r="F121" s="56">
        <v>90</v>
      </c>
      <c r="G121" s="61" t="s">
        <v>178</v>
      </c>
      <c r="H121" s="61" t="s">
        <v>171</v>
      </c>
    </row>
    <row r="122" spans="1:8" x14ac:dyDescent="0.3">
      <c r="A122" s="40" t="s">
        <v>114</v>
      </c>
      <c r="B122" s="54">
        <v>45628</v>
      </c>
      <c r="C122" s="55">
        <v>38</v>
      </c>
      <c r="D122" s="55">
        <v>25</v>
      </c>
      <c r="E122" s="55">
        <f>C122*D122</f>
        <v>950</v>
      </c>
      <c r="F122" s="56">
        <v>4370</v>
      </c>
      <c r="G122" s="61" t="s">
        <v>155</v>
      </c>
      <c r="H122" s="61" t="s">
        <v>156</v>
      </c>
    </row>
    <row r="123" spans="1:8" x14ac:dyDescent="0.3">
      <c r="A123" s="40" t="s">
        <v>40</v>
      </c>
      <c r="B123" s="54">
        <v>45635</v>
      </c>
      <c r="C123" s="55">
        <v>2</v>
      </c>
      <c r="D123" s="55">
        <v>25</v>
      </c>
      <c r="E123" s="55">
        <f>C123*D123</f>
        <v>50</v>
      </c>
      <c r="F123" s="56">
        <v>480</v>
      </c>
      <c r="G123" s="61" t="s">
        <v>157</v>
      </c>
      <c r="H123" s="61"/>
    </row>
    <row r="124" spans="1:8" x14ac:dyDescent="0.3">
      <c r="A124" s="40" t="s">
        <v>80</v>
      </c>
      <c r="B124" s="54">
        <v>45636</v>
      </c>
      <c r="C124" s="55">
        <v>1</v>
      </c>
      <c r="D124" s="55">
        <v>5000</v>
      </c>
      <c r="E124" s="55">
        <f>C124*D124</f>
        <v>5000</v>
      </c>
      <c r="F124" s="56">
        <v>640</v>
      </c>
      <c r="G124" s="61" t="s">
        <v>208</v>
      </c>
      <c r="H124" s="61"/>
    </row>
    <row r="125" spans="1:8" x14ac:dyDescent="0.3">
      <c r="A125" s="40" t="s">
        <v>90</v>
      </c>
      <c r="B125" s="54">
        <v>45636</v>
      </c>
      <c r="C125" s="55">
        <v>2</v>
      </c>
      <c r="D125" s="55">
        <v>5000</v>
      </c>
      <c r="E125" s="55">
        <f>C125*D125</f>
        <v>10000</v>
      </c>
      <c r="F125" s="56">
        <v>1600</v>
      </c>
      <c r="G125" s="61" t="s">
        <v>208</v>
      </c>
      <c r="H125" s="61"/>
    </row>
    <row r="126" spans="1:8" x14ac:dyDescent="0.3">
      <c r="A126" s="40" t="s">
        <v>83</v>
      </c>
      <c r="B126" s="54">
        <v>45636</v>
      </c>
      <c r="C126" s="55">
        <v>1</v>
      </c>
      <c r="D126" s="55">
        <v>1000</v>
      </c>
      <c r="E126" s="55">
        <f>C126*D126</f>
        <v>1000</v>
      </c>
      <c r="F126" s="56">
        <v>40</v>
      </c>
      <c r="G126" s="61" t="s">
        <v>208</v>
      </c>
      <c r="H126" s="61"/>
    </row>
    <row r="127" spans="1:8" x14ac:dyDescent="0.3">
      <c r="A127" s="40" t="s">
        <v>227</v>
      </c>
      <c r="B127" s="54">
        <v>45637</v>
      </c>
      <c r="C127" s="55">
        <v>12</v>
      </c>
      <c r="D127" s="55">
        <v>1000</v>
      </c>
      <c r="E127" s="55">
        <f>C127*D127</f>
        <v>12000</v>
      </c>
      <c r="F127" s="56">
        <v>2400</v>
      </c>
      <c r="G127" s="61" t="s">
        <v>228</v>
      </c>
      <c r="H127" s="61"/>
    </row>
    <row r="128" spans="1:8" x14ac:dyDescent="0.3">
      <c r="A128" s="40" t="s">
        <v>40</v>
      </c>
      <c r="B128" s="54">
        <v>45639</v>
      </c>
      <c r="C128" s="55">
        <v>1</v>
      </c>
      <c r="D128" s="55">
        <v>25</v>
      </c>
      <c r="E128" s="55">
        <f>C128*D128</f>
        <v>25</v>
      </c>
      <c r="F128" s="56">
        <v>275</v>
      </c>
      <c r="G128" s="61" t="s">
        <v>158</v>
      </c>
      <c r="H128" s="61"/>
    </row>
    <row r="129" spans="1:8" x14ac:dyDescent="0.3">
      <c r="A129" s="40" t="s">
        <v>101</v>
      </c>
      <c r="B129" s="54">
        <v>45639</v>
      </c>
      <c r="C129" s="55">
        <v>2</v>
      </c>
      <c r="D129" s="55">
        <v>5000</v>
      </c>
      <c r="E129" s="55">
        <f>C129*D129</f>
        <v>10000</v>
      </c>
      <c r="F129" s="56">
        <v>220</v>
      </c>
      <c r="G129" s="61" t="s">
        <v>158</v>
      </c>
      <c r="H129" s="61"/>
    </row>
    <row r="130" spans="1:8" x14ac:dyDescent="0.3">
      <c r="A130" s="40" t="s">
        <v>26</v>
      </c>
      <c r="B130" s="54">
        <v>45639</v>
      </c>
      <c r="C130" s="55">
        <v>2</v>
      </c>
      <c r="D130" s="55">
        <v>5000</v>
      </c>
      <c r="E130" s="55">
        <f>C130*D130</f>
        <v>10000</v>
      </c>
      <c r="F130" s="56">
        <v>320</v>
      </c>
      <c r="G130" s="61" t="s">
        <v>158</v>
      </c>
      <c r="H130" s="61"/>
    </row>
    <row r="131" spans="1:8" x14ac:dyDescent="0.3">
      <c r="A131" s="40" t="s">
        <v>101</v>
      </c>
      <c r="B131" s="54">
        <v>45645</v>
      </c>
      <c r="C131" s="55">
        <v>1</v>
      </c>
      <c r="D131" s="55">
        <v>5000</v>
      </c>
      <c r="E131" s="55">
        <f>C131*D131</f>
        <v>5000</v>
      </c>
      <c r="F131" s="56">
        <v>110</v>
      </c>
      <c r="G131" s="61" t="s">
        <v>159</v>
      </c>
      <c r="H131" s="61"/>
    </row>
    <row r="132" spans="1:8" x14ac:dyDescent="0.3">
      <c r="A132" s="40" t="s">
        <v>115</v>
      </c>
      <c r="B132" s="54">
        <v>45659</v>
      </c>
      <c r="C132" s="55">
        <v>1</v>
      </c>
      <c r="D132" s="55">
        <v>5000</v>
      </c>
      <c r="E132" s="55">
        <f>C132*D132</f>
        <v>5000</v>
      </c>
      <c r="F132" s="56">
        <v>160</v>
      </c>
      <c r="G132" s="61" t="s">
        <v>160</v>
      </c>
      <c r="H132" s="61" t="s">
        <v>210</v>
      </c>
    </row>
    <row r="133" spans="1:8" x14ac:dyDescent="0.3">
      <c r="A133" s="40" t="s">
        <v>48</v>
      </c>
      <c r="B133" s="54">
        <v>45659</v>
      </c>
      <c r="C133" s="55">
        <v>2</v>
      </c>
      <c r="D133" s="55">
        <v>25</v>
      </c>
      <c r="E133" s="55">
        <f>C133*D133</f>
        <v>50</v>
      </c>
      <c r="F133" s="56">
        <v>560</v>
      </c>
      <c r="G133" s="61" t="s">
        <v>160</v>
      </c>
      <c r="H133" s="61" t="s">
        <v>210</v>
      </c>
    </row>
    <row r="134" spans="1:8" x14ac:dyDescent="0.3">
      <c r="A134" s="40" t="s">
        <v>48</v>
      </c>
      <c r="B134" s="54">
        <v>45659</v>
      </c>
      <c r="C134" s="55">
        <v>4</v>
      </c>
      <c r="D134" s="55">
        <v>25</v>
      </c>
      <c r="E134" s="55">
        <f>C134*D134</f>
        <v>100</v>
      </c>
      <c r="F134" s="56">
        <v>1120</v>
      </c>
      <c r="G134" s="61" t="s">
        <v>161</v>
      </c>
      <c r="H134" s="61"/>
    </row>
    <row r="135" spans="1:8" x14ac:dyDescent="0.3">
      <c r="A135" s="40" t="s">
        <v>45</v>
      </c>
      <c r="B135" s="54">
        <v>45659</v>
      </c>
      <c r="C135" s="55">
        <v>1</v>
      </c>
      <c r="D135" s="55">
        <v>1000</v>
      </c>
      <c r="E135" s="55">
        <f>C135*D135</f>
        <v>1000</v>
      </c>
      <c r="F135" s="56">
        <v>70</v>
      </c>
      <c r="G135" s="61" t="s">
        <v>160</v>
      </c>
      <c r="H135" s="61"/>
    </row>
    <row r="136" spans="1:8" x14ac:dyDescent="0.3">
      <c r="A136" s="40" t="s">
        <v>54</v>
      </c>
      <c r="B136" s="54">
        <v>45659</v>
      </c>
      <c r="C136" s="55">
        <v>1</v>
      </c>
      <c r="D136" s="55">
        <v>25</v>
      </c>
      <c r="E136" s="55">
        <f>C136*D136</f>
        <v>25</v>
      </c>
      <c r="F136" s="56">
        <v>80</v>
      </c>
      <c r="G136" s="61" t="s">
        <v>161</v>
      </c>
      <c r="H136" s="61"/>
    </row>
    <row r="137" spans="1:8" x14ac:dyDescent="0.3">
      <c r="A137" s="40" t="s">
        <v>103</v>
      </c>
      <c r="B137" s="54">
        <v>45660</v>
      </c>
      <c r="C137" s="55">
        <v>1</v>
      </c>
      <c r="D137" s="55">
        <v>1000</v>
      </c>
      <c r="E137" s="55">
        <f>C137*D137</f>
        <v>1000</v>
      </c>
      <c r="F137" s="56">
        <v>180</v>
      </c>
      <c r="G137" s="61" t="s">
        <v>221</v>
      </c>
      <c r="H137" s="61"/>
    </row>
    <row r="138" spans="1:8" x14ac:dyDescent="0.3">
      <c r="A138" s="40" t="s">
        <v>193</v>
      </c>
      <c r="B138" s="54">
        <v>45668</v>
      </c>
      <c r="C138" s="55">
        <v>10</v>
      </c>
      <c r="D138" s="55">
        <v>1000</v>
      </c>
      <c r="E138" s="55">
        <f>C138*D138</f>
        <v>10000</v>
      </c>
      <c r="F138" s="56">
        <v>360</v>
      </c>
      <c r="G138" s="61" t="s">
        <v>168</v>
      </c>
      <c r="H138" s="61"/>
    </row>
    <row r="139" spans="1:8" x14ac:dyDescent="0.3">
      <c r="A139" s="40" t="s">
        <v>116</v>
      </c>
      <c r="B139" s="54">
        <v>45686</v>
      </c>
      <c r="C139" s="55">
        <v>1</v>
      </c>
      <c r="D139" s="55">
        <v>25</v>
      </c>
      <c r="E139" s="55">
        <f>C139*D139</f>
        <v>25</v>
      </c>
      <c r="F139" s="56">
        <v>285</v>
      </c>
      <c r="G139" s="61" t="s">
        <v>162</v>
      </c>
      <c r="H139" s="61"/>
    </row>
    <row r="140" spans="1:8" x14ac:dyDescent="0.3">
      <c r="A140" s="40" t="s">
        <v>101</v>
      </c>
      <c r="B140" s="54">
        <v>45695</v>
      </c>
      <c r="C140" s="55">
        <v>1</v>
      </c>
      <c r="D140" s="55">
        <v>5000</v>
      </c>
      <c r="E140" s="55">
        <f>C140*D140</f>
        <v>5000</v>
      </c>
      <c r="F140" s="56">
        <v>160</v>
      </c>
      <c r="G140" s="61" t="s">
        <v>163</v>
      </c>
      <c r="H140" s="61"/>
    </row>
    <row r="141" spans="1:8" x14ac:dyDescent="0.3">
      <c r="A141" s="40" t="s">
        <v>53</v>
      </c>
      <c r="B141" s="54">
        <v>45695</v>
      </c>
      <c r="C141" s="55">
        <v>2</v>
      </c>
      <c r="D141" s="55">
        <v>25</v>
      </c>
      <c r="E141" s="55">
        <f>C141*D141</f>
        <v>50</v>
      </c>
      <c r="F141" s="56">
        <v>180</v>
      </c>
      <c r="G141" s="61" t="s">
        <v>163</v>
      </c>
      <c r="H141" s="61"/>
    </row>
    <row r="142" spans="1:8" x14ac:dyDescent="0.3">
      <c r="A142" s="40" t="s">
        <v>26</v>
      </c>
      <c r="B142" s="54">
        <v>45695</v>
      </c>
      <c r="C142" s="55">
        <v>1</v>
      </c>
      <c r="D142" s="55">
        <v>5000</v>
      </c>
      <c r="E142" s="55">
        <f>C142*D142</f>
        <v>5000</v>
      </c>
      <c r="F142" s="56">
        <v>210</v>
      </c>
      <c r="G142" s="61" t="s">
        <v>163</v>
      </c>
      <c r="H142" s="61"/>
    </row>
    <row r="143" spans="1:8" x14ac:dyDescent="0.3">
      <c r="A143" s="40" t="s">
        <v>38</v>
      </c>
      <c r="B143" s="54">
        <v>45698</v>
      </c>
      <c r="C143" s="55">
        <v>1</v>
      </c>
      <c r="D143" s="55">
        <v>1000</v>
      </c>
      <c r="E143" s="55">
        <f>C143*D143</f>
        <v>1000</v>
      </c>
      <c r="F143" s="56">
        <v>125</v>
      </c>
      <c r="G143" s="61" t="s">
        <v>222</v>
      </c>
      <c r="H143" s="61"/>
    </row>
    <row r="144" spans="1:8" x14ac:dyDescent="0.3">
      <c r="A144" s="40" t="s">
        <v>86</v>
      </c>
      <c r="B144" s="54">
        <v>45699</v>
      </c>
      <c r="C144" s="55">
        <v>1</v>
      </c>
      <c r="D144" s="55">
        <v>15</v>
      </c>
      <c r="E144" s="55">
        <f>C144*D144</f>
        <v>15</v>
      </c>
      <c r="F144" s="56">
        <v>40</v>
      </c>
      <c r="G144" s="61" t="s">
        <v>164</v>
      </c>
      <c r="H144" s="61"/>
    </row>
    <row r="145" spans="1:8" x14ac:dyDescent="0.3">
      <c r="A145" s="40" t="s">
        <v>117</v>
      </c>
      <c r="B145" s="54">
        <v>45702</v>
      </c>
      <c r="C145" s="55">
        <v>1</v>
      </c>
      <c r="D145" s="55">
        <v>1000</v>
      </c>
      <c r="E145" s="55">
        <f>C145*D145</f>
        <v>1000</v>
      </c>
      <c r="F145" s="56">
        <v>100</v>
      </c>
      <c r="G145" s="61" t="s">
        <v>165</v>
      </c>
      <c r="H145" s="61"/>
    </row>
    <row r="146" spans="1:8" x14ac:dyDescent="0.3">
      <c r="A146" s="40" t="s">
        <v>118</v>
      </c>
      <c r="B146" s="54">
        <v>45702</v>
      </c>
      <c r="C146" s="55">
        <v>2</v>
      </c>
      <c r="D146" s="55">
        <v>25</v>
      </c>
      <c r="E146" s="55">
        <f>C146*D146</f>
        <v>50</v>
      </c>
      <c r="F146" s="56">
        <v>580</v>
      </c>
      <c r="G146" s="61" t="s">
        <v>165</v>
      </c>
      <c r="H146" s="61"/>
    </row>
    <row r="147" spans="1:8" x14ac:dyDescent="0.3">
      <c r="A147" s="40" t="s">
        <v>46</v>
      </c>
      <c r="B147" s="54">
        <v>45702</v>
      </c>
      <c r="C147" s="55">
        <v>1</v>
      </c>
      <c r="D147" s="55">
        <v>25</v>
      </c>
      <c r="E147" s="55">
        <f>C147*D147</f>
        <v>25</v>
      </c>
      <c r="F147" s="56">
        <v>130</v>
      </c>
      <c r="G147" s="61" t="s">
        <v>166</v>
      </c>
      <c r="H147" s="61"/>
    </row>
    <row r="148" spans="1:8" x14ac:dyDescent="0.3">
      <c r="A148" s="40" t="s">
        <v>119</v>
      </c>
      <c r="B148" s="54">
        <v>45702</v>
      </c>
      <c r="C148" s="55">
        <v>2</v>
      </c>
      <c r="D148" s="55">
        <v>1000</v>
      </c>
      <c r="E148" s="55">
        <f>C148*D148</f>
        <v>2000</v>
      </c>
      <c r="F148" s="56">
        <v>860</v>
      </c>
      <c r="G148" s="61" t="s">
        <v>166</v>
      </c>
      <c r="H148" s="61"/>
    </row>
    <row r="149" spans="1:8" x14ac:dyDescent="0.3">
      <c r="A149" s="40" t="s">
        <v>86</v>
      </c>
      <c r="B149" s="54">
        <v>45702</v>
      </c>
      <c r="C149" s="55">
        <v>1</v>
      </c>
      <c r="D149" s="55">
        <v>15</v>
      </c>
      <c r="E149" s="55">
        <f>C149*D149</f>
        <v>15</v>
      </c>
      <c r="F149" s="56">
        <v>40</v>
      </c>
      <c r="G149" s="61" t="s">
        <v>165</v>
      </c>
      <c r="H149" s="61"/>
    </row>
    <row r="150" spans="1:8" x14ac:dyDescent="0.3">
      <c r="A150" s="40" t="s">
        <v>62</v>
      </c>
      <c r="B150" s="54">
        <v>45708</v>
      </c>
      <c r="C150" s="55">
        <v>3</v>
      </c>
      <c r="D150" s="55">
        <v>25</v>
      </c>
      <c r="E150" s="55">
        <f>C150*D150</f>
        <v>75</v>
      </c>
      <c r="F150" s="56">
        <v>510</v>
      </c>
      <c r="G150" s="61" t="s">
        <v>167</v>
      </c>
      <c r="H150" s="61"/>
    </row>
    <row r="151" spans="1:8" x14ac:dyDescent="0.3">
      <c r="A151" s="40" t="s">
        <v>223</v>
      </c>
      <c r="B151" s="54">
        <v>45710</v>
      </c>
      <c r="C151" s="55">
        <v>1</v>
      </c>
      <c r="D151" s="55">
        <v>1000</v>
      </c>
      <c r="E151" s="55">
        <f>C151*D151</f>
        <v>1000</v>
      </c>
      <c r="F151" s="56">
        <v>140</v>
      </c>
      <c r="G151" s="61" t="s">
        <v>224</v>
      </c>
      <c r="H151" s="61"/>
    </row>
    <row r="152" spans="1:8" x14ac:dyDescent="0.3">
      <c r="A152" s="40" t="s">
        <v>225</v>
      </c>
      <c r="B152" s="54">
        <v>45723</v>
      </c>
      <c r="C152" s="55">
        <v>2</v>
      </c>
      <c r="D152" s="55">
        <v>1000</v>
      </c>
      <c r="E152" s="55">
        <f>C152*D152</f>
        <v>2000</v>
      </c>
      <c r="F152" s="56">
        <v>180</v>
      </c>
      <c r="G152" s="61" t="s">
        <v>226</v>
      </c>
      <c r="H152" s="61"/>
    </row>
    <row r="153" spans="1:8" x14ac:dyDescent="0.3">
      <c r="A153" s="40" t="s">
        <v>96</v>
      </c>
      <c r="B153" s="57" t="s">
        <v>209</v>
      </c>
      <c r="C153" s="55">
        <v>5</v>
      </c>
      <c r="D153" s="29">
        <v>1000</v>
      </c>
      <c r="E153" s="55">
        <f>C153*D153</f>
        <v>5000</v>
      </c>
      <c r="F153" s="56">
        <v>2700</v>
      </c>
      <c r="G153" s="61" t="s">
        <v>121</v>
      </c>
      <c r="H153" s="61" t="s">
        <v>170</v>
      </c>
    </row>
    <row r="154" spans="1:8" x14ac:dyDescent="0.3">
      <c r="A154" s="40" t="s">
        <v>33</v>
      </c>
      <c r="B154" s="40"/>
      <c r="C154" s="55">
        <v>40</v>
      </c>
      <c r="D154" s="55">
        <v>1</v>
      </c>
      <c r="E154" s="55">
        <f>C154*D154</f>
        <v>40</v>
      </c>
      <c r="F154" s="56">
        <v>1185</v>
      </c>
      <c r="G154" s="61" t="s">
        <v>229</v>
      </c>
      <c r="H154" s="61"/>
    </row>
    <row r="155" spans="1:8" x14ac:dyDescent="0.3">
      <c r="A155" s="40" t="s">
        <v>32</v>
      </c>
      <c r="B155" s="40"/>
      <c r="C155" s="55">
        <v>26</v>
      </c>
      <c r="D155" s="55">
        <v>1</v>
      </c>
      <c r="E155" s="55">
        <f>C155*D155</f>
        <v>26</v>
      </c>
      <c r="F155" s="56">
        <v>821</v>
      </c>
      <c r="G155" s="61" t="s">
        <v>229</v>
      </c>
      <c r="H155" s="61"/>
    </row>
    <row r="156" spans="1:8" x14ac:dyDescent="0.3">
      <c r="A156" s="40" t="s">
        <v>73</v>
      </c>
      <c r="B156" s="40"/>
      <c r="C156" s="55">
        <v>1</v>
      </c>
      <c r="D156" s="55">
        <v>1000</v>
      </c>
      <c r="E156" s="55">
        <f>C156*D156</f>
        <v>1000</v>
      </c>
      <c r="F156" s="56">
        <v>450</v>
      </c>
      <c r="G156" s="61" t="s">
        <v>229</v>
      </c>
      <c r="H156" s="61"/>
    </row>
    <row r="157" spans="1:8" x14ac:dyDescent="0.3">
      <c r="A157" s="40" t="s">
        <v>34</v>
      </c>
      <c r="B157" s="40"/>
      <c r="C157" s="55">
        <v>1</v>
      </c>
      <c r="D157" s="55">
        <v>1000</v>
      </c>
      <c r="E157" s="55">
        <f>C157*D157</f>
        <v>1000</v>
      </c>
      <c r="F157" s="56">
        <v>100</v>
      </c>
      <c r="G157" s="61" t="s">
        <v>229</v>
      </c>
      <c r="H157" s="61"/>
    </row>
    <row r="158" spans="1:8" x14ac:dyDescent="0.3">
      <c r="A158" s="40" t="s">
        <v>247</v>
      </c>
      <c r="B158" s="40"/>
      <c r="C158" s="55">
        <v>1</v>
      </c>
      <c r="D158" s="55">
        <v>1000</v>
      </c>
      <c r="E158" s="55">
        <f>C158*D158</f>
        <v>1000</v>
      </c>
      <c r="F158" s="56">
        <v>65</v>
      </c>
      <c r="G158" s="61"/>
      <c r="H158" s="61"/>
    </row>
    <row r="159" spans="1:8" x14ac:dyDescent="0.3">
      <c r="A159" s="40" t="s">
        <v>22</v>
      </c>
      <c r="B159" s="40"/>
      <c r="C159" s="55">
        <v>1</v>
      </c>
      <c r="D159" s="55">
        <v>1000</v>
      </c>
      <c r="E159" s="55">
        <f>C159*D159</f>
        <v>1000</v>
      </c>
      <c r="F159" s="56">
        <v>330</v>
      </c>
      <c r="G159" s="61" t="s">
        <v>229</v>
      </c>
      <c r="H159" s="61"/>
    </row>
    <row r="160" spans="1:8" x14ac:dyDescent="0.3">
      <c r="A160" s="40" t="s">
        <v>37</v>
      </c>
      <c r="B160" s="40"/>
      <c r="C160" s="55">
        <v>1</v>
      </c>
      <c r="D160" s="55">
        <v>1000</v>
      </c>
      <c r="E160" s="55">
        <f>C160*D160</f>
        <v>1000</v>
      </c>
      <c r="F160" s="56">
        <v>217</v>
      </c>
      <c r="G160" s="61" t="s">
        <v>229</v>
      </c>
      <c r="H160" s="61"/>
    </row>
    <row r="161" spans="1:8" x14ac:dyDescent="0.3">
      <c r="A161" s="40" t="s">
        <v>100</v>
      </c>
      <c r="B161" s="40"/>
      <c r="C161" s="55">
        <v>350</v>
      </c>
      <c r="D161" s="55">
        <v>1</v>
      </c>
      <c r="E161" s="55">
        <f>C161*D161</f>
        <v>350</v>
      </c>
      <c r="F161" s="56">
        <v>825</v>
      </c>
      <c r="G161" s="61" t="s">
        <v>229</v>
      </c>
      <c r="H161" s="61"/>
    </row>
    <row r="162" spans="1:8" x14ac:dyDescent="0.3">
      <c r="A162" s="40" t="s">
        <v>21</v>
      </c>
      <c r="B162" s="40"/>
      <c r="C162" s="55">
        <v>1</v>
      </c>
      <c r="D162" s="55">
        <v>1000</v>
      </c>
      <c r="E162" s="55">
        <f>C162*D162</f>
        <v>1000</v>
      </c>
      <c r="F162" s="56">
        <v>2284</v>
      </c>
      <c r="G162" s="61" t="s">
        <v>229</v>
      </c>
      <c r="H162" s="61"/>
    </row>
    <row r="163" spans="1:8" x14ac:dyDescent="0.3">
      <c r="A163" s="23" t="s">
        <v>95</v>
      </c>
      <c r="B163" s="40"/>
      <c r="C163" s="55">
        <v>1</v>
      </c>
      <c r="D163" s="55">
        <v>1000</v>
      </c>
      <c r="E163" s="55">
        <f>C163*D163</f>
        <v>1000</v>
      </c>
      <c r="F163" s="56">
        <v>50</v>
      </c>
      <c r="G163" s="61" t="s">
        <v>239</v>
      </c>
      <c r="H163" s="61"/>
    </row>
    <row r="164" spans="1:8" x14ac:dyDescent="0.3">
      <c r="A164" s="40" t="s">
        <v>63</v>
      </c>
      <c r="B164" s="40"/>
      <c r="C164" s="55">
        <v>1</v>
      </c>
      <c r="D164" s="55">
        <v>5000</v>
      </c>
      <c r="E164" s="55">
        <f>C164*D164</f>
        <v>5000</v>
      </c>
      <c r="F164" s="56">
        <v>115</v>
      </c>
      <c r="G164" s="61" t="s">
        <v>230</v>
      </c>
      <c r="H164" s="61"/>
    </row>
    <row r="165" spans="1:8" x14ac:dyDescent="0.3">
      <c r="A165" s="40" t="s">
        <v>233</v>
      </c>
      <c r="B165" s="40"/>
      <c r="C165" s="55">
        <v>104</v>
      </c>
      <c r="D165" s="55">
        <v>1</v>
      </c>
      <c r="E165" s="55">
        <f>C165*D165</f>
        <v>104</v>
      </c>
      <c r="F165" s="56">
        <v>436.8</v>
      </c>
      <c r="G165" s="61" t="s">
        <v>235</v>
      </c>
      <c r="H165" s="61"/>
    </row>
    <row r="166" spans="1:8" x14ac:dyDescent="0.3">
      <c r="A166" s="40" t="s">
        <v>43</v>
      </c>
      <c r="B166" s="40"/>
      <c r="C166" s="55">
        <v>1</v>
      </c>
      <c r="D166" s="55">
        <v>1000</v>
      </c>
      <c r="E166" s="55">
        <f>C166*D166</f>
        <v>1000</v>
      </c>
      <c r="F166" s="56">
        <v>120</v>
      </c>
      <c r="G166" s="61" t="s">
        <v>229</v>
      </c>
      <c r="H166" s="61"/>
    </row>
    <row r="167" spans="1:8" x14ac:dyDescent="0.3">
      <c r="A167" s="40" t="s">
        <v>236</v>
      </c>
      <c r="B167" s="40"/>
      <c r="C167" s="55">
        <v>30</v>
      </c>
      <c r="D167" s="55">
        <v>25</v>
      </c>
      <c r="E167" s="55">
        <f>C167*D167</f>
        <v>750</v>
      </c>
      <c r="F167" s="56">
        <v>1800</v>
      </c>
      <c r="G167" s="61"/>
      <c r="H167" s="61"/>
    </row>
    <row r="168" spans="1:8" x14ac:dyDescent="0.3">
      <c r="A168" s="40" t="s">
        <v>238</v>
      </c>
      <c r="B168" s="40"/>
      <c r="C168" s="55">
        <v>1</v>
      </c>
      <c r="D168" s="55">
        <v>50</v>
      </c>
      <c r="E168" s="55">
        <f>C168*D168</f>
        <v>50</v>
      </c>
      <c r="F168" s="56">
        <v>190</v>
      </c>
      <c r="G168" s="61"/>
      <c r="H168" s="61"/>
    </row>
    <row r="169" spans="1:8" x14ac:dyDescent="0.3">
      <c r="A169" s="33" t="s">
        <v>264</v>
      </c>
      <c r="C169" s="37">
        <v>1</v>
      </c>
      <c r="D169" s="37">
        <v>1000</v>
      </c>
      <c r="E169" s="37">
        <f>C169*D169</f>
        <v>1000</v>
      </c>
      <c r="F169" s="38">
        <v>250</v>
      </c>
    </row>
  </sheetData>
  <autoFilter ref="A2:M168"/>
  <sortState ref="A3:H168">
    <sortCondition ref="B2"/>
  </sortState>
  <mergeCells count="2">
    <mergeCell ref="A1:G1"/>
    <mergeCell ref="J1:M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2" sqref="B12"/>
    </sheetView>
  </sheetViews>
  <sheetFormatPr defaultRowHeight="14.4" x14ac:dyDescent="0.3"/>
  <cols>
    <col min="1" max="1" width="43" customWidth="1"/>
    <col min="2" max="2" width="21.6640625" customWidth="1"/>
    <col min="4" max="4" width="30.44140625" customWidth="1"/>
    <col min="5" max="5" width="18.109375" customWidth="1"/>
  </cols>
  <sheetData>
    <row r="1" spans="1:5" x14ac:dyDescent="0.3">
      <c r="A1" s="94" t="s">
        <v>242</v>
      </c>
      <c r="B1" s="94"/>
      <c r="D1" s="94" t="s">
        <v>263</v>
      </c>
      <c r="E1" s="94"/>
    </row>
    <row r="2" spans="1:5" x14ac:dyDescent="0.3">
      <c r="A2" s="3" t="s">
        <v>0</v>
      </c>
      <c r="B2" s="3" t="s">
        <v>4</v>
      </c>
      <c r="D2" s="3" t="s">
        <v>0</v>
      </c>
      <c r="E2" s="3" t="s">
        <v>4</v>
      </c>
    </row>
    <row r="3" spans="1:5" x14ac:dyDescent="0.3">
      <c r="A3" t="s">
        <v>16</v>
      </c>
      <c r="B3" s="1">
        <f>'CONFINAMENTO-MILHO'!B106</f>
        <v>1583.8799999999999</v>
      </c>
      <c r="D3" t="s">
        <v>16</v>
      </c>
      <c r="E3" s="1">
        <f>TOMATE!B106</f>
        <v>0</v>
      </c>
    </row>
    <row r="4" spans="1:5" x14ac:dyDescent="0.3">
      <c r="A4" t="s">
        <v>17</v>
      </c>
      <c r="B4" s="1">
        <f>'CONFINAMENTO-MILHO'!K120</f>
        <v>2126.9480303030305</v>
      </c>
      <c r="D4" t="s">
        <v>17</v>
      </c>
      <c r="E4" s="1">
        <f>TOMATE!K120</f>
        <v>7424.0025005364996</v>
      </c>
    </row>
    <row r="5" spans="1:5" x14ac:dyDescent="0.3">
      <c r="A5" t="s">
        <v>20</v>
      </c>
      <c r="B5" s="1">
        <f>'CONFINAMENTO-MILHO'!Q35</f>
        <v>4103.2</v>
      </c>
      <c r="D5" t="s">
        <v>20</v>
      </c>
      <c r="E5" s="1">
        <f>TOMATE!Q35</f>
        <v>3372.5</v>
      </c>
    </row>
    <row r="6" spans="1:5" x14ac:dyDescent="0.3">
      <c r="A6" t="s">
        <v>12</v>
      </c>
      <c r="B6" s="1">
        <f>'CONFINAMENTO-MILHO'!W35</f>
        <v>240</v>
      </c>
      <c r="D6" t="s">
        <v>12</v>
      </c>
      <c r="E6" s="1">
        <f>TOMATE!W35</f>
        <v>645</v>
      </c>
    </row>
    <row r="7" spans="1:5" x14ac:dyDescent="0.3">
      <c r="B7" s="1"/>
      <c r="E7" s="1"/>
    </row>
    <row r="8" spans="1:5" x14ac:dyDescent="0.3">
      <c r="B8" s="1"/>
      <c r="E8" s="1"/>
    </row>
    <row r="9" spans="1:5" x14ac:dyDescent="0.3">
      <c r="B9" s="1"/>
      <c r="E9" s="1"/>
    </row>
    <row r="10" spans="1:5" x14ac:dyDescent="0.3">
      <c r="B10" s="1"/>
      <c r="E10" s="1"/>
    </row>
    <row r="11" spans="1:5" x14ac:dyDescent="0.3">
      <c r="A11" t="s">
        <v>5</v>
      </c>
      <c r="B11" s="1">
        <f>SUM(B3:B10)</f>
        <v>8054.0280303030304</v>
      </c>
      <c r="D11" t="s">
        <v>5</v>
      </c>
      <c r="E11" s="1">
        <f>SUM(E3:E10)</f>
        <v>11441.502500536499</v>
      </c>
    </row>
    <row r="12" spans="1:5" x14ac:dyDescent="0.3">
      <c r="B12" s="1"/>
    </row>
    <row r="13" spans="1:5" x14ac:dyDescent="0.3">
      <c r="B13" s="1"/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CONFINAMENTO-MILHO</vt:lpstr>
      <vt:lpstr>TOMATE</vt:lpstr>
      <vt:lpstr>COMPRAS</vt:lpstr>
      <vt:lpstr>FECHAMENTOS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Fernando</cp:lastModifiedBy>
  <dcterms:created xsi:type="dcterms:W3CDTF">2023-09-10T14:18:23Z</dcterms:created>
  <dcterms:modified xsi:type="dcterms:W3CDTF">2025-05-18T14:44:55Z</dcterms:modified>
</cp:coreProperties>
</file>